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2983\OneDrive\Рабочий стол\s\числаки\2сем\2\"/>
    </mc:Choice>
  </mc:AlternateContent>
  <xr:revisionPtr revIDLastSave="0" documentId="8_{D4F547A9-338B-44AE-AEBD-0AE4B85147D3}" xr6:coauthVersionLast="47" xr6:coauthVersionMax="47" xr10:uidLastSave="{00000000-0000-0000-0000-000000000000}"/>
  <bookViews>
    <workbookView xWindow="7104" yWindow="2100" windowWidth="10968" windowHeight="9960" activeTab="1" xr2:uid="{00000000-000D-0000-FFFF-FFFF00000000}"/>
  </bookViews>
  <sheets>
    <sheet name="63" sheetId="3" r:id="rId1"/>
    <sheet name="141" sheetId="5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0" i="3" l="1"/>
  <c r="R44" i="5" l="1"/>
  <c r="O41" i="5"/>
  <c r="O44" i="5"/>
  <c r="R41" i="5"/>
  <c r="U44" i="5" l="1"/>
  <c r="X44" i="5" s="1"/>
  <c r="U41" i="5"/>
  <c r="X41" i="5" s="1"/>
  <c r="C63" i="3" l="1"/>
  <c r="F63" i="3"/>
  <c r="F60" i="3"/>
  <c r="I63" i="3" l="1"/>
  <c r="L63" i="3" s="1"/>
  <c r="I60" i="3"/>
  <c r="L60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07EE6C-52EE-488F-B9F6-CF66CCCCB26B}" keepAlive="1" name="Запрос — output" description="Соединение с запросом &quot;output&quot; в книге." type="5" refreshedVersion="0" background="1">
    <dbPr connection="Provider=Microsoft.Mashup.OleDb.1;Data Source=$Workbook$;Location=output;Extended Properties=&quot;&quot;" command="SELECT * FROM [output]"/>
  </connection>
  <connection id="2" xr16:uid="{0D6CC419-35F0-4594-9498-221D38115301}" keepAlive="1" name="Запрос — output (2)" description="Соединение с запросом &quot;output (2)&quot; в книге." type="5" refreshedVersion="0" background="1">
    <dbPr connection="Provider=Microsoft.Mashup.OleDb.1;Data Source=$Workbook$;Location=&quot;output (2)&quot;;Extended Properties=&quot;&quot;" command="SELECT * FROM [output (2)]"/>
  </connection>
  <connection id="3" xr16:uid="{5FD3F9EA-7532-453C-8636-C8773A4E90C7}" keepAlive="1" name="Запрос — output (3)" description="Соединение с запросом &quot;output (3)&quot; в книге." type="5" refreshedVersion="0" background="1">
    <dbPr connection="Provider=Microsoft.Mashup.OleDb.1;Data Source=$Workbook$;Location=&quot;output (3)&quot;;Extended Properties=&quot;&quot;" command="SELECT * FROM [output (3)]"/>
  </connection>
</connections>
</file>

<file path=xl/sharedStrings.xml><?xml version="1.0" encoding="utf-8"?>
<sst xmlns="http://schemas.openxmlformats.org/spreadsheetml/2006/main" count="48" uniqueCount="27">
  <si>
    <t>x</t>
  </si>
  <si>
    <t>y</t>
  </si>
  <si>
    <t>delta</t>
  </si>
  <si>
    <t>delta(h)</t>
  </si>
  <si>
    <t xml:space="preserve">  Исходное уравнение:</t>
  </si>
  <si>
    <t xml:space="preserve">  Точное решение:</t>
  </si>
  <si>
    <t>max delta (при h=0.1)</t>
  </si>
  <si>
    <t>max delta (при h=0.2)</t>
  </si>
  <si>
    <t>Отношение погрешностей</t>
  </si>
  <si>
    <t>средн. delta (при h=0.1)</t>
  </si>
  <si>
    <t>средн. delta (при h=0.2)</t>
  </si>
  <si>
    <t>max delta (при h=0.25)</t>
  </si>
  <si>
    <t>max delta (при h=0.5)</t>
  </si>
  <si>
    <t>средн. delta (при h=0.25)</t>
  </si>
  <si>
    <t>средн. delta (при h=0.5)</t>
  </si>
  <si>
    <t>Численное решение
(h=0.1)</t>
  </si>
  <si>
    <t>Точное решение
(h=0.1)</t>
  </si>
  <si>
    <t>Численное решение
(h=0.2)</t>
  </si>
  <si>
    <t>Точное решение
(h=0.2)</t>
  </si>
  <si>
    <t>u</t>
  </si>
  <si>
    <t>Порядок точности</t>
  </si>
  <si>
    <t>y' - y = 2x - 3</t>
  </si>
  <si>
    <t>Точное решение</t>
  </si>
  <si>
    <t>Исходное ур.</t>
  </si>
  <si>
    <r>
      <t>2x + y - 1 = e</t>
    </r>
    <r>
      <rPr>
        <vertAlign val="superscript"/>
        <sz val="28"/>
        <color theme="1"/>
        <rFont val="Calibri"/>
        <family val="2"/>
        <charset val="204"/>
        <scheme val="minor"/>
      </rPr>
      <t>x</t>
    </r>
  </si>
  <si>
    <t>y = x(y' - xcos(x))</t>
  </si>
  <si>
    <t>y = x(C + sin(x))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</si>
</sst>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  <font>
      <sz val="2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vertAlign val="superscript"/>
      <sz val="28"/>
      <color theme="1"/>
      <name val="Calibri"/>
      <family val="2"/>
      <charset val="204"/>
      <scheme val="minor"/>
    </font>
    <font>
      <sz val="18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double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5" borderId="28" xfId="1" applyFont="1" applyFill="1" applyBorder="1"/>
    <xf numFmtId="0" fontId="1" fillId="5" borderId="29" xfId="1" applyFont="1" applyFill="1" applyBorder="1"/>
    <xf numFmtId="0" fontId="1" fillId="5" borderId="30" xfId="1" applyFont="1" applyFill="1" applyBorder="1"/>
    <xf numFmtId="0" fontId="1" fillId="0" borderId="28" xfId="1" applyFont="1" applyBorder="1"/>
    <xf numFmtId="0" fontId="1" fillId="0" borderId="29" xfId="1" applyFont="1" applyBorder="1"/>
    <xf numFmtId="0" fontId="1" fillId="0" borderId="30" xfId="1" applyFont="1" applyBorder="1"/>
    <xf numFmtId="0" fontId="1" fillId="5" borderId="33" xfId="1" applyFont="1" applyFill="1" applyBorder="1"/>
    <xf numFmtId="0" fontId="1" fillId="5" borderId="31" xfId="1" applyFont="1" applyFill="1" applyBorder="1"/>
    <xf numFmtId="0" fontId="1" fillId="5" borderId="34" xfId="1" applyFont="1" applyFill="1" applyBorder="1"/>
    <xf numFmtId="0" fontId="1" fillId="5" borderId="28" xfId="1" applyFont="1" applyFill="1" applyBorder="1"/>
    <xf numFmtId="0" fontId="1" fillId="5" borderId="29" xfId="1" applyFont="1" applyFill="1" applyBorder="1"/>
    <xf numFmtId="0" fontId="1" fillId="5" borderId="30" xfId="1" applyFont="1" applyFill="1" applyBorder="1"/>
    <xf numFmtId="0" fontId="1" fillId="0" borderId="28" xfId="1" applyFont="1" applyBorder="1"/>
    <xf numFmtId="0" fontId="1" fillId="0" borderId="29" xfId="1" applyFont="1" applyBorder="1"/>
    <xf numFmtId="0" fontId="1" fillId="0" borderId="30" xfId="1" applyFont="1" applyBorder="1"/>
    <xf numFmtId="0" fontId="1" fillId="0" borderId="33" xfId="1" applyFont="1" applyBorder="1"/>
    <xf numFmtId="0" fontId="1" fillId="0" borderId="31" xfId="1" applyFont="1" applyBorder="1"/>
    <xf numFmtId="0" fontId="1" fillId="0" borderId="34" xfId="1" applyFont="1" applyBorder="1"/>
    <xf numFmtId="0" fontId="4" fillId="2" borderId="11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7" fillId="4" borderId="0" xfId="0" applyFont="1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6" fillId="4" borderId="0" xfId="0" applyFont="1" applyFill="1" applyBorder="1" applyAlignment="1">
      <alignment horizontal="center" vertical="center"/>
    </xf>
    <xf numFmtId="0" fontId="0" fillId="0" borderId="0" xfId="0" applyBorder="1"/>
    <xf numFmtId="0" fontId="6" fillId="4" borderId="11" xfId="0" applyFont="1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/>
    </xf>
    <xf numFmtId="0" fontId="9" fillId="4" borderId="40" xfId="0" applyFont="1" applyFill="1" applyBorder="1" applyAlignment="1">
      <alignment horizontal="center"/>
    </xf>
    <xf numFmtId="0" fontId="0" fillId="5" borderId="28" xfId="0" applyFont="1" applyFill="1" applyBorder="1"/>
    <xf numFmtId="0" fontId="0" fillId="0" borderId="28" xfId="0" applyFont="1" applyBorder="1"/>
    <xf numFmtId="0" fontId="0" fillId="5" borderId="29" xfId="0" applyNumberFormat="1" applyFont="1" applyFill="1" applyBorder="1"/>
    <xf numFmtId="0" fontId="0" fillId="5" borderId="30" xfId="0" applyNumberFormat="1" applyFont="1" applyFill="1" applyBorder="1"/>
    <xf numFmtId="0" fontId="0" fillId="0" borderId="29" xfId="0" applyNumberFormat="1" applyFont="1" applyBorder="1"/>
    <xf numFmtId="0" fontId="0" fillId="0" borderId="30" xfId="0" applyNumberFormat="1" applyFont="1" applyBorder="1"/>
    <xf numFmtId="0" fontId="6" fillId="4" borderId="37" xfId="0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88A4D3FA-6CEF-4F5E-9180-609B391D1C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sng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 u="sng"/>
              <a:t>График решения</a:t>
            </a:r>
            <a:r>
              <a:rPr lang="en-US" u="sng"/>
              <a:t> </a:t>
            </a:r>
            <a:endParaRPr lang="ru-RU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sng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6067040687782241E-2"/>
          <c:y val="6.1857755047173009E-2"/>
          <c:w val="0.7480743047913907"/>
          <c:h val="0.84728244994033297"/>
        </c:manualLayout>
      </c:layout>
      <c:scatterChart>
        <c:scatterStyle val="lineMarker"/>
        <c:varyColors val="0"/>
        <c:ser>
          <c:idx val="0"/>
          <c:order val="0"/>
          <c:tx>
            <c:v>у (h=0.1)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'63'!$A$4:$A$54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'63'!$C$4:$C$54</c:f>
              <c:numCache>
                <c:formatCode>General</c:formatCode>
                <c:ptCount val="51"/>
                <c:pt idx="0">
                  <c:v>2</c:v>
                </c:pt>
                <c:pt idx="1">
                  <c:v>1.9051709999999999</c:v>
                </c:pt>
                <c:pt idx="2">
                  <c:v>1.8214030000000001</c:v>
                </c:pt>
                <c:pt idx="3">
                  <c:v>1.7498590000000001</c:v>
                </c:pt>
                <c:pt idx="4">
                  <c:v>1.6918249999999999</c:v>
                </c:pt>
                <c:pt idx="5">
                  <c:v>1.6487210000000001</c:v>
                </c:pt>
                <c:pt idx="6">
                  <c:v>1.6221190000000001</c:v>
                </c:pt>
                <c:pt idx="7">
                  <c:v>1.613753</c:v>
                </c:pt>
                <c:pt idx="8">
                  <c:v>1.6255409999999999</c:v>
                </c:pt>
                <c:pt idx="9">
                  <c:v>1.6596029999999999</c:v>
                </c:pt>
                <c:pt idx="10">
                  <c:v>1.7182820000000001</c:v>
                </c:pt>
                <c:pt idx="11">
                  <c:v>1.8041659999999999</c:v>
                </c:pt>
                <c:pt idx="12">
                  <c:v>1.9201170000000001</c:v>
                </c:pt>
                <c:pt idx="13">
                  <c:v>2.0692970000000002</c:v>
                </c:pt>
                <c:pt idx="14">
                  <c:v>2.2551999999999999</c:v>
                </c:pt>
                <c:pt idx="15">
                  <c:v>2.4816889999999998</c:v>
                </c:pt>
                <c:pt idx="16">
                  <c:v>2.7530320000000001</c:v>
                </c:pt>
                <c:pt idx="17">
                  <c:v>3.073947</c:v>
                </c:pt>
                <c:pt idx="18">
                  <c:v>3.4496470000000001</c:v>
                </c:pt>
                <c:pt idx="19">
                  <c:v>3.885894</c:v>
                </c:pt>
                <c:pt idx="20">
                  <c:v>4.3890560000000001</c:v>
                </c:pt>
                <c:pt idx="21">
                  <c:v>4.96617</c:v>
                </c:pt>
                <c:pt idx="22">
                  <c:v>5.625013</c:v>
                </c:pt>
                <c:pt idx="23">
                  <c:v>6.3741820000000002</c:v>
                </c:pt>
                <c:pt idx="24">
                  <c:v>7.2231759999999996</c:v>
                </c:pt>
                <c:pt idx="25">
                  <c:v>8.1824940000000002</c:v>
                </c:pt>
                <c:pt idx="26">
                  <c:v>9.263738</c:v>
                </c:pt>
                <c:pt idx="27">
                  <c:v>10.479732</c:v>
                </c:pt>
                <c:pt idx="28">
                  <c:v>11.844647</c:v>
                </c:pt>
                <c:pt idx="29">
                  <c:v>13.374145</c:v>
                </c:pt>
                <c:pt idx="30">
                  <c:v>15.085537</c:v>
                </c:pt>
                <c:pt idx="31">
                  <c:v>16.997951</c:v>
                </c:pt>
                <c:pt idx="32">
                  <c:v>19.132529999999999</c:v>
                </c:pt>
                <c:pt idx="33">
                  <c:v>21.512639</c:v>
                </c:pt>
                <c:pt idx="34">
                  <c:v>24.164100000000001</c:v>
                </c:pt>
                <c:pt idx="35">
                  <c:v>27.115452000000001</c:v>
                </c:pt>
                <c:pt idx="36">
                  <c:v>30.398233999999999</c:v>
                </c:pt>
                <c:pt idx="37">
                  <c:v>34.047303999999997</c:v>
                </c:pt>
                <c:pt idx="38">
                  <c:v>38.101184000000003</c:v>
                </c:pt>
                <c:pt idx="39">
                  <c:v>42.602449</c:v>
                </c:pt>
                <c:pt idx="40">
                  <c:v>47.598149999999997</c:v>
                </c:pt>
                <c:pt idx="41">
                  <c:v>53.140287999999998</c:v>
                </c:pt>
                <c:pt idx="42">
                  <c:v>59.286330999999997</c:v>
                </c:pt>
                <c:pt idx="43">
                  <c:v>66.099794000000003</c:v>
                </c:pt>
                <c:pt idx="44">
                  <c:v>73.650869</c:v>
                </c:pt>
                <c:pt idx="45">
                  <c:v>82.017131000000006</c:v>
                </c:pt>
                <c:pt idx="46">
                  <c:v>91.284316000000004</c:v>
                </c:pt>
                <c:pt idx="47">
                  <c:v>101.547172</c:v>
                </c:pt>
                <c:pt idx="48">
                  <c:v>112.91041800000001</c:v>
                </c:pt>
                <c:pt idx="49">
                  <c:v>125.48978</c:v>
                </c:pt>
                <c:pt idx="50">
                  <c:v>139.41315900000001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9C-4370-BDE1-BE5AB9D4E9A0}"/>
            </c:ext>
          </c:extLst>
        </c:ser>
        <c:ser>
          <c:idx val="1"/>
          <c:order val="1"/>
          <c:tx>
            <c:v>y (h=0.2)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'63'!$F$4:$F$29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xVal>
          <c:yVal>
            <c:numRef>
              <c:f>'63'!$G$4:$G$29</c:f>
              <c:numCache>
                <c:formatCode>General</c:formatCode>
                <c:ptCount val="26"/>
                <c:pt idx="0">
                  <c:v>2</c:v>
                </c:pt>
                <c:pt idx="1">
                  <c:v>1.82</c:v>
                </c:pt>
                <c:pt idx="2">
                  <c:v>1.6883999999999999</c:v>
                </c:pt>
                <c:pt idx="3">
                  <c:v>1.615848</c:v>
                </c:pt>
                <c:pt idx="4">
                  <c:v>1.615335</c:v>
                </c:pt>
                <c:pt idx="5">
                  <c:v>1.7027080000000001</c:v>
                </c:pt>
                <c:pt idx="6">
                  <c:v>1.8973040000000001</c:v>
                </c:pt>
                <c:pt idx="7">
                  <c:v>2.2227109999999999</c:v>
                </c:pt>
                <c:pt idx="8">
                  <c:v>2.7077070000000001</c:v>
                </c:pt>
                <c:pt idx="9">
                  <c:v>3.3874029999999999</c:v>
                </c:pt>
                <c:pt idx="10">
                  <c:v>4.3046309999999997</c:v>
                </c:pt>
                <c:pt idx="11">
                  <c:v>5.5116500000000004</c:v>
                </c:pt>
                <c:pt idx="12">
                  <c:v>7.0722129999999996</c:v>
                </c:pt>
                <c:pt idx="13">
                  <c:v>9.0640999999999998</c:v>
                </c:pt>
                <c:pt idx="14">
                  <c:v>11.582202000000001</c:v>
                </c:pt>
                <c:pt idx="15">
                  <c:v>14.742286999999999</c:v>
                </c:pt>
                <c:pt idx="16">
                  <c:v>18.685590000000001</c:v>
                </c:pt>
                <c:pt idx="17">
                  <c:v>23.584420000000001</c:v>
                </c:pt>
                <c:pt idx="18">
                  <c:v>29.648992</c:v>
                </c:pt>
                <c:pt idx="19">
                  <c:v>37.135770999999998</c:v>
                </c:pt>
                <c:pt idx="20">
                  <c:v>46.357640000000004</c:v>
                </c:pt>
                <c:pt idx="21">
                  <c:v>57.696320999999998</c:v>
                </c:pt>
                <c:pt idx="22">
                  <c:v>71.617512000000005</c:v>
                </c:pt>
                <c:pt idx="23">
                  <c:v>88.689363999999998</c:v>
                </c:pt>
                <c:pt idx="24">
                  <c:v>109.605024</c:v>
                </c:pt>
                <c:pt idx="25">
                  <c:v>135.21012999999999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9C-4370-BDE1-BE5AB9D4E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332384"/>
        <c:axId val="754334464"/>
      </c:scatterChart>
      <c:scatterChart>
        <c:scatterStyle val="smoothMarker"/>
        <c:varyColors val="0"/>
        <c:ser>
          <c:idx val="2"/>
          <c:order val="2"/>
          <c:tx>
            <c:v>у (точное)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'63'!$A$4:$A$54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'63'!$B$4:$B$54</c:f>
              <c:numCache>
                <c:formatCode>General</c:formatCode>
                <c:ptCount val="51"/>
                <c:pt idx="0">
                  <c:v>2</c:v>
                </c:pt>
                <c:pt idx="1">
                  <c:v>1.905</c:v>
                </c:pt>
                <c:pt idx="2">
                  <c:v>1.8210249999999999</c:v>
                </c:pt>
                <c:pt idx="3">
                  <c:v>1.749233</c:v>
                </c:pt>
                <c:pt idx="4">
                  <c:v>1.6909019999999999</c:v>
                </c:pt>
                <c:pt idx="5">
                  <c:v>1.6474470000000001</c:v>
                </c:pt>
                <c:pt idx="6">
                  <c:v>1.6204289999999999</c:v>
                </c:pt>
                <c:pt idx="7">
                  <c:v>1.6115740000000001</c:v>
                </c:pt>
                <c:pt idx="8">
                  <c:v>1.622789</c:v>
                </c:pt>
                <c:pt idx="9">
                  <c:v>1.656182</c:v>
                </c:pt>
                <c:pt idx="10">
                  <c:v>1.714081</c:v>
                </c:pt>
                <c:pt idx="11">
                  <c:v>1.799059</c:v>
                </c:pt>
                <c:pt idx="12">
                  <c:v>1.913961</c:v>
                </c:pt>
                <c:pt idx="13">
                  <c:v>2.0619260000000001</c:v>
                </c:pt>
                <c:pt idx="14">
                  <c:v>2.246429</c:v>
                </c:pt>
                <c:pt idx="15">
                  <c:v>2.4713039999999999</c:v>
                </c:pt>
                <c:pt idx="16">
                  <c:v>2.7407910000000002</c:v>
                </c:pt>
                <c:pt idx="17">
                  <c:v>3.059574</c:v>
                </c:pt>
                <c:pt idx="18">
                  <c:v>3.4328289999999999</c:v>
                </c:pt>
                <c:pt idx="19">
                  <c:v>3.866276</c:v>
                </c:pt>
                <c:pt idx="20">
                  <c:v>4.3662349999999996</c:v>
                </c:pt>
                <c:pt idx="21">
                  <c:v>4.9396899999999997</c:v>
                </c:pt>
                <c:pt idx="22">
                  <c:v>5.5943569999999996</c:v>
                </c:pt>
                <c:pt idx="23">
                  <c:v>6.3387640000000003</c:v>
                </c:pt>
                <c:pt idx="24">
                  <c:v>7.1823350000000001</c:v>
                </c:pt>
                <c:pt idx="25">
                  <c:v>8.1354799999999994</c:v>
                </c:pt>
                <c:pt idx="26">
                  <c:v>9.2097049999999996</c:v>
                </c:pt>
                <c:pt idx="27">
                  <c:v>10.417724</c:v>
                </c:pt>
                <c:pt idx="28">
                  <c:v>11.773585000000001</c:v>
                </c:pt>
                <c:pt idx="29">
                  <c:v>13.292812</c:v>
                </c:pt>
                <c:pt idx="30">
                  <c:v>14.992557</c:v>
                </c:pt>
                <c:pt idx="31">
                  <c:v>16.891774999999999</c:v>
                </c:pt>
                <c:pt idx="32">
                  <c:v>19.011412</c:v>
                </c:pt>
                <c:pt idx="33">
                  <c:v>21.374610000000001</c:v>
                </c:pt>
                <c:pt idx="34">
                  <c:v>24.006944000000001</c:v>
                </c:pt>
                <c:pt idx="35">
                  <c:v>26.936672999999999</c:v>
                </c:pt>
                <c:pt idx="36">
                  <c:v>30.195024</c:v>
                </c:pt>
                <c:pt idx="37">
                  <c:v>33.816501000000002</c:v>
                </c:pt>
                <c:pt idx="38">
                  <c:v>37.839233999999998</c:v>
                </c:pt>
                <c:pt idx="39">
                  <c:v>42.305354000000001</c:v>
                </c:pt>
                <c:pt idx="40">
                  <c:v>47.261415999999997</c:v>
                </c:pt>
                <c:pt idx="41">
                  <c:v>52.758864000000003</c:v>
                </c:pt>
                <c:pt idx="42">
                  <c:v>58.854545000000002</c:v>
                </c:pt>
                <c:pt idx="43">
                  <c:v>65.611272</c:v>
                </c:pt>
                <c:pt idx="44">
                  <c:v>73.098455999999999</c:v>
                </c:pt>
                <c:pt idx="45">
                  <c:v>81.392793999999995</c:v>
                </c:pt>
                <c:pt idx="46">
                  <c:v>90.579037</c:v>
                </c:pt>
                <c:pt idx="47">
                  <c:v>100.75083600000001</c:v>
                </c:pt>
                <c:pt idx="48">
                  <c:v>112.011674</c:v>
                </c:pt>
                <c:pt idx="49">
                  <c:v>124.4759</c:v>
                </c:pt>
                <c:pt idx="50">
                  <c:v>138.269869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9C-4370-BDE1-BE5AB9D4E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332384"/>
        <c:axId val="754334464"/>
      </c:scatterChart>
      <c:valAx>
        <c:axId val="754332384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600" b="1"/>
                  <a:t>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4334464"/>
        <c:crosses val="autoZero"/>
        <c:crossBetween val="midCat"/>
      </c:valAx>
      <c:valAx>
        <c:axId val="75433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600" b="1"/>
                  <a:t>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4332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131982393643811"/>
          <c:y val="0.43955406679138948"/>
          <c:w val="0.16868017606356192"/>
          <c:h val="0.13230078121383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100"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sng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 u="sng"/>
              <a:t>График </a:t>
            </a:r>
            <a:r>
              <a:rPr lang="ru-RU" sz="1320" b="0" i="0" u="sng" strike="noStrike" baseline="0">
                <a:effectLst/>
              </a:rPr>
              <a:t>ошибки </a:t>
            </a:r>
            <a:r>
              <a:rPr lang="ru-RU" u="sng"/>
              <a:t>решения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067040687782241E-2"/>
          <c:y val="6.1857755047173009E-2"/>
          <c:w val="0.7480743047913907"/>
          <c:h val="0.84728244994033297"/>
        </c:manualLayout>
      </c:layout>
      <c:scatterChart>
        <c:scatterStyle val="smoothMarker"/>
        <c:varyColors val="0"/>
        <c:ser>
          <c:idx val="0"/>
          <c:order val="0"/>
          <c:tx>
            <c:v>Погрешность(h)</c:v>
          </c:tx>
          <c:marker>
            <c:symbol val="none"/>
          </c:marker>
          <c:xVal>
            <c:numRef>
              <c:f>'63'!$A$4:$A$54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'63'!$D$4:$D$54</c:f>
              <c:numCache>
                <c:formatCode>General</c:formatCode>
                <c:ptCount val="51"/>
                <c:pt idx="0">
                  <c:v>0</c:v>
                </c:pt>
                <c:pt idx="1">
                  <c:v>1.7100000000000001E-4</c:v>
                </c:pt>
                <c:pt idx="2">
                  <c:v>3.7800000000000003E-4</c:v>
                </c:pt>
                <c:pt idx="3">
                  <c:v>6.2600000000000004E-4</c:v>
                </c:pt>
                <c:pt idx="4">
                  <c:v>9.2299999999999999E-4</c:v>
                </c:pt>
                <c:pt idx="5">
                  <c:v>1.2750000000000001E-3</c:v>
                </c:pt>
                <c:pt idx="6">
                  <c:v>1.6900000000000001E-3</c:v>
                </c:pt>
                <c:pt idx="7">
                  <c:v>2.1789999999999999E-3</c:v>
                </c:pt>
                <c:pt idx="8">
                  <c:v>2.7520000000000001E-3</c:v>
                </c:pt>
                <c:pt idx="9">
                  <c:v>3.421E-3</c:v>
                </c:pt>
                <c:pt idx="10">
                  <c:v>4.2009999999999999E-3</c:v>
                </c:pt>
                <c:pt idx="11">
                  <c:v>5.1070000000000004E-3</c:v>
                </c:pt>
                <c:pt idx="12">
                  <c:v>6.156E-3</c:v>
                </c:pt>
                <c:pt idx="13">
                  <c:v>7.3699999999999998E-3</c:v>
                </c:pt>
                <c:pt idx="14">
                  <c:v>8.7709999999999993E-3</c:v>
                </c:pt>
                <c:pt idx="15">
                  <c:v>1.0385E-2</c:v>
                </c:pt>
                <c:pt idx="16">
                  <c:v>1.2241999999999999E-2</c:v>
                </c:pt>
                <c:pt idx="17">
                  <c:v>1.4374E-2</c:v>
                </c:pt>
                <c:pt idx="18">
                  <c:v>1.6819000000000001E-2</c:v>
                </c:pt>
                <c:pt idx="19">
                  <c:v>1.9619000000000001E-2</c:v>
                </c:pt>
                <c:pt idx="20">
                  <c:v>2.2821000000000001E-2</c:v>
                </c:pt>
                <c:pt idx="21">
                  <c:v>2.648E-2</c:v>
                </c:pt>
                <c:pt idx="22">
                  <c:v>3.0657E-2</c:v>
                </c:pt>
                <c:pt idx="23">
                  <c:v>3.5417999999999998E-2</c:v>
                </c:pt>
                <c:pt idx="24">
                  <c:v>4.0842000000000003E-2</c:v>
                </c:pt>
                <c:pt idx="25">
                  <c:v>4.7014E-2</c:v>
                </c:pt>
                <c:pt idx="26">
                  <c:v>5.4032999999999998E-2</c:v>
                </c:pt>
                <c:pt idx="27">
                  <c:v>6.2008000000000001E-2</c:v>
                </c:pt>
                <c:pt idx="28">
                  <c:v>7.1062E-2</c:v>
                </c:pt>
                <c:pt idx="29">
                  <c:v>8.1334000000000004E-2</c:v>
                </c:pt>
                <c:pt idx="30">
                  <c:v>9.2979999999999993E-2</c:v>
                </c:pt>
                <c:pt idx="31">
                  <c:v>0.10617600000000001</c:v>
                </c:pt>
                <c:pt idx="32">
                  <c:v>0.121118</c:v>
                </c:pt>
                <c:pt idx="33">
                  <c:v>0.13802900000000001</c:v>
                </c:pt>
                <c:pt idx="34">
                  <c:v>0.15715599999999999</c:v>
                </c:pt>
                <c:pt idx="35">
                  <c:v>0.17877899999999999</c:v>
                </c:pt>
                <c:pt idx="36">
                  <c:v>0.203211</c:v>
                </c:pt>
                <c:pt idx="37">
                  <c:v>0.23080300000000001</c:v>
                </c:pt>
                <c:pt idx="38">
                  <c:v>0.26195000000000002</c:v>
                </c:pt>
                <c:pt idx="39">
                  <c:v>0.297095</c:v>
                </c:pt>
                <c:pt idx="40">
                  <c:v>0.33673399999999998</c:v>
                </c:pt>
                <c:pt idx="41">
                  <c:v>0.38142300000000001</c:v>
                </c:pt>
                <c:pt idx="42">
                  <c:v>0.431786</c:v>
                </c:pt>
                <c:pt idx="43">
                  <c:v>0.48852099999999998</c:v>
                </c:pt>
                <c:pt idx="44">
                  <c:v>0.55241300000000004</c:v>
                </c:pt>
                <c:pt idx="45">
                  <c:v>0.62433700000000003</c:v>
                </c:pt>
                <c:pt idx="46">
                  <c:v>0.70527799999999996</c:v>
                </c:pt>
                <c:pt idx="47">
                  <c:v>0.79633600000000004</c:v>
                </c:pt>
                <c:pt idx="48">
                  <c:v>0.89874399999999999</c:v>
                </c:pt>
                <c:pt idx="49">
                  <c:v>1.0138799999999999</c:v>
                </c:pt>
                <c:pt idx="50">
                  <c:v>1.1432899999999999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A34-47E1-A742-727285298269}"/>
            </c:ext>
          </c:extLst>
        </c:ser>
        <c:ser>
          <c:idx val="1"/>
          <c:order val="1"/>
          <c:tx>
            <c:v>Погрешность(2h)</c:v>
          </c:tx>
          <c:marker>
            <c:symbol val="none"/>
          </c:marker>
          <c:xVal>
            <c:numRef>
              <c:f>'63'!$F$4:$F$29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xVal>
          <c:yVal>
            <c:numRef>
              <c:f>'63'!$I$4:$I$29</c:f>
              <c:numCache>
                <c:formatCode>General</c:formatCode>
                <c:ptCount val="26"/>
                <c:pt idx="0">
                  <c:v>0</c:v>
                </c:pt>
                <c:pt idx="1">
                  <c:v>1.403E-3</c:v>
                </c:pt>
                <c:pt idx="2">
                  <c:v>3.4250000000000001E-3</c:v>
                </c:pt>
                <c:pt idx="3">
                  <c:v>6.2709999999999997E-3</c:v>
                </c:pt>
                <c:pt idx="4">
                  <c:v>1.0206E-2</c:v>
                </c:pt>
                <c:pt idx="5">
                  <c:v>1.5573999999999999E-2</c:v>
                </c:pt>
                <c:pt idx="6">
                  <c:v>2.2813E-2</c:v>
                </c:pt>
                <c:pt idx="7">
                  <c:v>3.2488999999999997E-2</c:v>
                </c:pt>
                <c:pt idx="8">
                  <c:v>4.5324999999999997E-2</c:v>
                </c:pt>
                <c:pt idx="9">
                  <c:v>6.2245000000000002E-2</c:v>
                </c:pt>
                <c:pt idx="10">
                  <c:v>8.4425E-2</c:v>
                </c:pt>
                <c:pt idx="11">
                  <c:v>0.11336300000000001</c:v>
                </c:pt>
                <c:pt idx="12">
                  <c:v>0.15096300000000001</c:v>
                </c:pt>
                <c:pt idx="13">
                  <c:v>0.19963800000000001</c:v>
                </c:pt>
                <c:pt idx="14">
                  <c:v>0.26244400000000001</c:v>
                </c:pt>
                <c:pt idx="15">
                  <c:v>0.34325</c:v>
                </c:pt>
                <c:pt idx="16">
                  <c:v>0.44694</c:v>
                </c:pt>
                <c:pt idx="17">
                  <c:v>0.57967999999999997</c:v>
                </c:pt>
                <c:pt idx="18">
                  <c:v>0.74924199999999996</c:v>
                </c:pt>
                <c:pt idx="19">
                  <c:v>0.96541399999999999</c:v>
                </c:pt>
                <c:pt idx="20">
                  <c:v>1.24051</c:v>
                </c:pt>
                <c:pt idx="21">
                  <c:v>1.5900099999999999</c:v>
                </c:pt>
                <c:pt idx="22">
                  <c:v>2.0333570000000001</c:v>
                </c:pt>
                <c:pt idx="23">
                  <c:v>2.5949520000000001</c:v>
                </c:pt>
                <c:pt idx="24">
                  <c:v>3.305393</c:v>
                </c:pt>
                <c:pt idx="25">
                  <c:v>4.20303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A34-47E1-A742-727285298269}"/>
            </c:ext>
          </c:extLst>
        </c:ser>
        <c:ser>
          <c:idx val="3"/>
          <c:order val="2"/>
          <c:tx>
            <c:v>Погрешность(h)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'[1]Филиппов №63'!$A$5:$A$55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'[1]Филиппов №63'!$D$5:$D$55</c:f>
              <c:numCache>
                <c:formatCode>General</c:formatCode>
                <c:ptCount val="51"/>
                <c:pt idx="0">
                  <c:v>0</c:v>
                </c:pt>
                <c:pt idx="1">
                  <c:v>1.7091807564773021E-4</c:v>
                </c:pt>
                <c:pt idx="2">
                  <c:v>3.7275816016979491E-4</c:v>
                </c:pt>
                <c:pt idx="3">
                  <c:v>6.2880757600303205E-4</c:v>
                </c:pt>
                <c:pt idx="4">
                  <c:v>9.2469764127023346E-4</c:v>
                </c:pt>
                <c:pt idx="5">
                  <c:v>1.2712707001281132E-3</c:v>
                </c:pt>
                <c:pt idx="6">
                  <c:v>1.6888003905088933E-3</c:v>
                </c:pt>
                <c:pt idx="7">
                  <c:v>2.1827074704767746E-3</c:v>
                </c:pt>
                <c:pt idx="8">
                  <c:v>2.7509284924678301E-3</c:v>
                </c:pt>
                <c:pt idx="9">
                  <c:v>3.4231111569498207E-3</c:v>
                </c:pt>
                <c:pt idx="10">
                  <c:v>4.2018284590450428E-3</c:v>
                </c:pt>
                <c:pt idx="11">
                  <c:v>5.1060239464331136E-3</c:v>
                </c:pt>
                <c:pt idx="12">
                  <c:v>6.1569227365472212E-3</c:v>
                </c:pt>
                <c:pt idx="13">
                  <c:v>7.3666676192445379E-3</c:v>
                </c:pt>
                <c:pt idx="14">
                  <c:v>8.7699668446745704E-3</c:v>
                </c:pt>
                <c:pt idx="15">
                  <c:v>1.0389070338064688E-2</c:v>
                </c:pt>
                <c:pt idx="16">
                  <c:v>1.2242424395114693E-2</c:v>
                </c:pt>
                <c:pt idx="17">
                  <c:v>1.4377391727200095E-2</c:v>
                </c:pt>
                <c:pt idx="18">
                  <c:v>1.6817464412946403E-2</c:v>
                </c:pt>
                <c:pt idx="19">
                  <c:v>1.9614442279268562E-2</c:v>
                </c:pt>
                <c:pt idx="20">
                  <c:v>2.2826098930650573E-2</c:v>
                </c:pt>
                <c:pt idx="21">
                  <c:v>2.6479912567651809E-2</c:v>
                </c:pt>
                <c:pt idx="22">
                  <c:v>3.0653499434121656E-2</c:v>
                </c:pt>
                <c:pt idx="23">
                  <c:v>3.542245481471884E-2</c:v>
                </c:pt>
                <c:pt idx="24">
                  <c:v>4.0846380641601066E-2</c:v>
                </c:pt>
                <c:pt idx="25">
                  <c:v>4.7013960703473856E-2</c:v>
                </c:pt>
                <c:pt idx="26">
                  <c:v>5.4028035001691066E-2</c:v>
                </c:pt>
                <c:pt idx="27">
                  <c:v>6.2031724872836591E-2</c:v>
                </c:pt>
                <c:pt idx="28">
                  <c:v>7.1046771097048378E-2</c:v>
                </c:pt>
                <c:pt idx="29">
                  <c:v>8.1345369443059923E-2</c:v>
                </c:pt>
                <c:pt idx="30">
                  <c:v>9.2936923187668441E-2</c:v>
                </c:pt>
                <c:pt idx="31">
                  <c:v>0.10615128144163677</c:v>
                </c:pt>
                <c:pt idx="32">
                  <c:v>0.12113019710935546</c:v>
                </c:pt>
                <c:pt idx="33">
                  <c:v>0.13803892065788403</c:v>
                </c:pt>
                <c:pt idx="34">
                  <c:v>0.15720004739700855</c:v>
                </c:pt>
                <c:pt idx="35">
                  <c:v>0.1787519586923132</c:v>
                </c:pt>
                <c:pt idx="36">
                  <c:v>0.20323444367798871</c:v>
                </c:pt>
                <c:pt idx="37">
                  <c:v>0.23080436006740257</c:v>
                </c:pt>
                <c:pt idx="38">
                  <c:v>0.2619844933008153</c:v>
                </c:pt>
                <c:pt idx="39">
                  <c:v>0.29704910553017072</c:v>
                </c:pt>
                <c:pt idx="40">
                  <c:v>0.33675003314423435</c:v>
                </c:pt>
                <c:pt idx="41">
                  <c:v>0.38138759736195027</c:v>
                </c:pt>
                <c:pt idx="42">
                  <c:v>0.43183104092515379</c:v>
                </c:pt>
                <c:pt idx="43">
                  <c:v>0.48849369959579292</c:v>
                </c:pt>
                <c:pt idx="44">
                  <c:v>0.5523686649681423</c:v>
                </c:pt>
                <c:pt idx="45">
                  <c:v>0.62433130052181696</c:v>
                </c:pt>
                <c:pt idx="46">
                  <c:v>0.7053156419337796</c:v>
                </c:pt>
                <c:pt idx="47">
                  <c:v>0.79617245212351406</c:v>
                </c:pt>
                <c:pt idx="48">
                  <c:v>0.89841751873485975</c:v>
                </c:pt>
                <c:pt idx="49">
                  <c:v>1.0137796849355283</c:v>
                </c:pt>
                <c:pt idx="50">
                  <c:v>1.1431591025765897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34-47E1-A742-727285298269}"/>
            </c:ext>
          </c:extLst>
        </c:ser>
        <c:ser>
          <c:idx val="4"/>
          <c:order val="3"/>
          <c:tx>
            <c:v>Погрешность(2h)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'[1]Филиппов №63'!$F$5:$F$30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xVal>
          <c:yVal>
            <c:numRef>
              <c:f>'[1]Филиппов №63'!$I$5:$I$30</c:f>
              <c:numCache>
                <c:formatCode>General</c:formatCode>
                <c:ptCount val="26"/>
                <c:pt idx="0">
                  <c:v>0</c:v>
                </c:pt>
                <c:pt idx="1">
                  <c:v>1.4027581601696593E-3</c:v>
                </c:pt>
                <c:pt idx="2">
                  <c:v>3.4246976412704022E-3</c:v>
                </c:pt>
                <c:pt idx="3">
                  <c:v>6.2688003905089218E-3</c:v>
                </c:pt>
                <c:pt idx="4">
                  <c:v>1.0210928492467852E-2</c:v>
                </c:pt>
                <c:pt idx="5">
                  <c:v>1.5571828459045145E-2</c:v>
                </c:pt>
                <c:pt idx="6">
                  <c:v>2.281692273654734E-2</c:v>
                </c:pt>
                <c:pt idx="7">
                  <c:v>3.2489966844674534E-2</c:v>
                </c:pt>
                <c:pt idx="8">
                  <c:v>4.5322424395114691E-2</c:v>
                </c:pt>
                <c:pt idx="9">
                  <c:v>6.2247464412946485E-2</c:v>
                </c:pt>
                <c:pt idx="10">
                  <c:v>8.4426098930650006E-2</c:v>
                </c:pt>
                <c:pt idx="11">
                  <c:v>0.11336349943412127</c:v>
                </c:pt>
                <c:pt idx="12">
                  <c:v>0.15096638064160128</c:v>
                </c:pt>
                <c:pt idx="13">
                  <c:v>0.19963803500169064</c:v>
                </c:pt>
                <c:pt idx="14">
                  <c:v>0.26244677109704817</c:v>
                </c:pt>
                <c:pt idx="15">
                  <c:v>0.34323692318766774</c:v>
                </c:pt>
                <c:pt idx="16">
                  <c:v>0.44693019710935289</c:v>
                </c:pt>
                <c:pt idx="17">
                  <c:v>0.57970004739701153</c:v>
                </c:pt>
                <c:pt idx="18">
                  <c:v>0.74923444367798808</c:v>
                </c:pt>
                <c:pt idx="19">
                  <c:v>0.96538449330081022</c:v>
                </c:pt>
                <c:pt idx="20">
                  <c:v>1.2405500331442383</c:v>
                </c:pt>
                <c:pt idx="21">
                  <c:v>1.5900310409251546</c:v>
                </c:pt>
                <c:pt idx="22">
                  <c:v>2.0333686649681368</c:v>
                </c:pt>
                <c:pt idx="23">
                  <c:v>2.5949156419337669</c:v>
                </c:pt>
                <c:pt idx="24">
                  <c:v>3.3054175187348562</c:v>
                </c:pt>
                <c:pt idx="25">
                  <c:v>4.203159102576592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A34-47E1-A742-727285298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332384"/>
        <c:axId val="754334464"/>
      </c:scatterChart>
      <c:valAx>
        <c:axId val="754332384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600" b="1"/>
                  <a:t>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4334464"/>
        <c:crosses val="autoZero"/>
        <c:crossBetween val="midCat"/>
      </c:valAx>
      <c:valAx>
        <c:axId val="75433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600" b="1"/>
                  <a:t>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4332384"/>
        <c:crosses val="autoZero"/>
        <c:crossBetween val="midCat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1531542528518464"/>
          <c:y val="0.3650216108352764"/>
          <c:w val="0.17906774410745818"/>
          <c:h val="0.210183636105543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100"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sng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u="sng" strike="noStrike" baseline="0">
                <a:effectLst/>
              </a:rPr>
              <a:t>График решения </a:t>
            </a:r>
            <a:r>
              <a:rPr lang="ru-RU" sz="1800" u="sng"/>
              <a:t>№141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sng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у (h=0.25)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'141'!$A$5:$A$37</c:f>
              <c:numCache>
                <c:formatCode>General</c:formatCode>
                <c:ptCount val="33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4.0999999999999996</c:v>
                </c:pt>
                <c:pt idx="32">
                  <c:v>4.2</c:v>
                </c:pt>
              </c:numCache>
            </c:numRef>
          </c:xVal>
          <c:yVal>
            <c:numRef>
              <c:f>'141'!$B$5:$B$37</c:f>
              <c:numCache>
                <c:formatCode>General</c:formatCode>
                <c:ptCount val="33"/>
                <c:pt idx="0">
                  <c:v>0.84147099999999997</c:v>
                </c:pt>
                <c:pt idx="1">
                  <c:v>0.98043599999999997</c:v>
                </c:pt>
                <c:pt idx="2">
                  <c:v>1.1187119999999999</c:v>
                </c:pt>
                <c:pt idx="3">
                  <c:v>1.2530920000000001</c:v>
                </c:pt>
                <c:pt idx="4">
                  <c:v>1.3803380000000001</c:v>
                </c:pt>
                <c:pt idx="5">
                  <c:v>1.4972270000000001</c:v>
                </c:pt>
                <c:pt idx="6">
                  <c:v>1.600608</c:v>
                </c:pt>
                <c:pt idx="7">
                  <c:v>1.687449</c:v>
                </c:pt>
                <c:pt idx="8">
                  <c:v>1.7548919999999999</c:v>
                </c:pt>
                <c:pt idx="9">
                  <c:v>1.8002959999999999</c:v>
                </c:pt>
                <c:pt idx="10">
                  <c:v>1.8212889999999999</c:v>
                </c:pt>
                <c:pt idx="11">
                  <c:v>1.8158030000000001</c:v>
                </c:pt>
                <c:pt idx="12">
                  <c:v>1.7821229999999999</c:v>
                </c:pt>
                <c:pt idx="13">
                  <c:v>1.718912</c:v>
                </c:pt>
                <c:pt idx="14">
                  <c:v>1.6252489999999999</c:v>
                </c:pt>
                <c:pt idx="15">
                  <c:v>1.50065</c:v>
                </c:pt>
                <c:pt idx="16">
                  <c:v>1.3450850000000001</c:v>
                </c:pt>
                <c:pt idx="17">
                  <c:v>1.1589959999999999</c:v>
                </c:pt>
                <c:pt idx="18">
                  <c:v>0.94330000000000003</c:v>
                </c:pt>
                <c:pt idx="19">
                  <c:v>0.69939200000000001</c:v>
                </c:pt>
                <c:pt idx="20">
                  <c:v>0.42913400000000002</c:v>
                </c:pt>
                <c:pt idx="21">
                  <c:v>0.134848</c:v>
                </c:pt>
                <c:pt idx="22">
                  <c:v>-0.18070700000000001</c:v>
                </c:pt>
                <c:pt idx="23">
                  <c:v>-0.51436099999999996</c:v>
                </c:pt>
                <c:pt idx="24">
                  <c:v>-0.86256299999999997</c:v>
                </c:pt>
                <c:pt idx="25">
                  <c:v>-1.2214179999999999</c:v>
                </c:pt>
                <c:pt idx="26">
                  <c:v>-1.586735</c:v>
                </c:pt>
                <c:pt idx="27">
                  <c:v>-1.9540690000000001</c:v>
                </c:pt>
                <c:pt idx="28">
                  <c:v>-2.318775</c:v>
                </c:pt>
                <c:pt idx="29">
                  <c:v>-2.6760679999999999</c:v>
                </c:pt>
                <c:pt idx="30">
                  <c:v>-3.0210759999999999</c:v>
                </c:pt>
                <c:pt idx="31">
                  <c:v>-3.3489059999999999</c:v>
                </c:pt>
                <c:pt idx="32">
                  <c:v>-3.6547079999999998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50-4258-9824-9810415F2A72}"/>
            </c:ext>
          </c:extLst>
        </c:ser>
        <c:ser>
          <c:idx val="1"/>
          <c:order val="1"/>
          <c:tx>
            <c:v>y (h=0.5)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'141'!$F$5:$F$21</c:f>
              <c:numCache>
                <c:formatCode>General</c:formatCode>
                <c:ptCount val="17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1.6</c:v>
                </c:pt>
                <c:pt idx="4">
                  <c:v>1.8</c:v>
                </c:pt>
                <c:pt idx="5">
                  <c:v>2</c:v>
                </c:pt>
                <c:pt idx="6">
                  <c:v>2.2000000000000002</c:v>
                </c:pt>
                <c:pt idx="7">
                  <c:v>2.4</c:v>
                </c:pt>
                <c:pt idx="8">
                  <c:v>2.6</c:v>
                </c:pt>
                <c:pt idx="9">
                  <c:v>2.8</c:v>
                </c:pt>
                <c:pt idx="10">
                  <c:v>3</c:v>
                </c:pt>
                <c:pt idx="11">
                  <c:v>3.2</c:v>
                </c:pt>
                <c:pt idx="12">
                  <c:v>3.4</c:v>
                </c:pt>
                <c:pt idx="13">
                  <c:v>3.6</c:v>
                </c:pt>
                <c:pt idx="14">
                  <c:v>3.8</c:v>
                </c:pt>
                <c:pt idx="15">
                  <c:v>4</c:v>
                </c:pt>
                <c:pt idx="16">
                  <c:v>4.2</c:v>
                </c:pt>
              </c:numCache>
            </c:numRef>
          </c:xVal>
          <c:yVal>
            <c:numRef>
              <c:f>'141'!$G$5:$G$21</c:f>
              <c:numCache>
                <c:formatCode>General</c:formatCode>
                <c:ptCount val="17"/>
                <c:pt idx="0">
                  <c:v>0.84147099999999997</c:v>
                </c:pt>
                <c:pt idx="1">
                  <c:v>1.11938</c:v>
                </c:pt>
                <c:pt idx="2">
                  <c:v>1.3821829999999999</c:v>
                </c:pt>
                <c:pt idx="3">
                  <c:v>1.604031</c:v>
                </c:pt>
                <c:pt idx="4">
                  <c:v>1.760178</c:v>
                </c:pt>
                <c:pt idx="5">
                  <c:v>1.8285990000000001</c:v>
                </c:pt>
                <c:pt idx="6">
                  <c:v>1.7914969999999999</c:v>
                </c:pt>
                <c:pt idx="7">
                  <c:v>1.6366149999999999</c:v>
                </c:pt>
                <c:pt idx="8">
                  <c:v>1.3582700000000001</c:v>
                </c:pt>
                <c:pt idx="9">
                  <c:v>0.95804999999999996</c:v>
                </c:pt>
                <c:pt idx="10">
                  <c:v>0.44513200000000003</c:v>
                </c:pt>
                <c:pt idx="11">
                  <c:v>-0.16381799999999999</c:v>
                </c:pt>
                <c:pt idx="12">
                  <c:v>-0.84515399999999996</c:v>
                </c:pt>
                <c:pt idx="13">
                  <c:v>-1.569172</c:v>
                </c:pt>
                <c:pt idx="14">
                  <c:v>-2.301393</c:v>
                </c:pt>
                <c:pt idx="15">
                  <c:v>-3.0041600000000002</c:v>
                </c:pt>
                <c:pt idx="16">
                  <c:v>-3.638477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E50-4258-9824-9810415F2A72}"/>
            </c:ext>
          </c:extLst>
        </c:ser>
        <c:ser>
          <c:idx val="2"/>
          <c:order val="2"/>
          <c:tx>
            <c:v>у (точн)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'141'!$A$5:$A$37</c:f>
              <c:numCache>
                <c:formatCode>General</c:formatCode>
                <c:ptCount val="33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4.0999999999999996</c:v>
                </c:pt>
                <c:pt idx="32">
                  <c:v>4.2</c:v>
                </c:pt>
              </c:numCache>
            </c:numRef>
          </c:xVal>
          <c:yVal>
            <c:numRef>
              <c:f>'141'!$C$5:$C$37</c:f>
              <c:numCache>
                <c:formatCode>General</c:formatCode>
                <c:ptCount val="33"/>
                <c:pt idx="0">
                  <c:v>0.84147099999999997</c:v>
                </c:pt>
                <c:pt idx="1">
                  <c:v>0.98032799999999998</c:v>
                </c:pt>
                <c:pt idx="2">
                  <c:v>1.118447</c:v>
                </c:pt>
                <c:pt idx="3">
                  <c:v>1.252626</c:v>
                </c:pt>
                <c:pt idx="4">
                  <c:v>1.3796299999999999</c:v>
                </c:pt>
                <c:pt idx="5">
                  <c:v>1.4962420000000001</c:v>
                </c:pt>
                <c:pt idx="6">
                  <c:v>1.599318</c:v>
                </c:pt>
                <c:pt idx="7">
                  <c:v>1.6858299999999999</c:v>
                </c:pt>
                <c:pt idx="8">
                  <c:v>1.752926</c:v>
                </c:pt>
                <c:pt idx="9">
                  <c:v>1.7979700000000001</c:v>
                </c:pt>
                <c:pt idx="10">
                  <c:v>1.818595</c:v>
                </c:pt>
                <c:pt idx="11">
                  <c:v>1.81274</c:v>
                </c:pt>
                <c:pt idx="12">
                  <c:v>1.7786919999999999</c:v>
                </c:pt>
                <c:pt idx="13">
                  <c:v>1.715122</c:v>
                </c:pt>
                <c:pt idx="14">
                  <c:v>1.6211120000000001</c:v>
                </c:pt>
                <c:pt idx="15">
                  <c:v>1.4961800000000001</c:v>
                </c:pt>
                <c:pt idx="16">
                  <c:v>1.3403039999999999</c:v>
                </c:pt>
                <c:pt idx="17">
                  <c:v>1.153926</c:v>
                </c:pt>
                <c:pt idx="18">
                  <c:v>0.937967</c:v>
                </c:pt>
                <c:pt idx="19">
                  <c:v>0.69382299999999997</c:v>
                </c:pt>
                <c:pt idx="20">
                  <c:v>0.42336000000000001</c:v>
                </c:pt>
                <c:pt idx="21">
                  <c:v>0.12889999999999999</c:v>
                </c:pt>
                <c:pt idx="22">
                  <c:v>-0.18679699999999999</c:v>
                </c:pt>
                <c:pt idx="23">
                  <c:v>-0.52056100000000005</c:v>
                </c:pt>
                <c:pt idx="24">
                  <c:v>-0.86883999999999995</c:v>
                </c:pt>
                <c:pt idx="25">
                  <c:v>-1.227741</c:v>
                </c:pt>
                <c:pt idx="26">
                  <c:v>-1.5930740000000001</c:v>
                </c:pt>
                <c:pt idx="27">
                  <c:v>-1.960394</c:v>
                </c:pt>
                <c:pt idx="28">
                  <c:v>-2.3250600000000001</c:v>
                </c:pt>
                <c:pt idx="29">
                  <c:v>-2.6822879999999998</c:v>
                </c:pt>
                <c:pt idx="30">
                  <c:v>-3.0272100000000002</c:v>
                </c:pt>
                <c:pt idx="31">
                  <c:v>-3.3549359999999999</c:v>
                </c:pt>
                <c:pt idx="32">
                  <c:v>-3.6606179999999999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E50-4258-9824-9810415F2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390712"/>
        <c:axId val="754391672"/>
      </c:scatterChart>
      <c:valAx>
        <c:axId val="754390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4391672"/>
        <c:crosses val="autoZero"/>
        <c:crossBetween val="midCat"/>
      </c:valAx>
      <c:valAx>
        <c:axId val="754391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4390712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sng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u="sng" strike="noStrike" baseline="0">
                <a:effectLst/>
              </a:rPr>
              <a:t>График ошибки решения </a:t>
            </a:r>
            <a:r>
              <a:rPr lang="ru-RU" sz="1800" u="sng"/>
              <a:t>№141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sng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Погрешность(h)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'141'!$A$5:$A$37</c:f>
              <c:numCache>
                <c:formatCode>General</c:formatCode>
                <c:ptCount val="33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4.0999999999999996</c:v>
                </c:pt>
                <c:pt idx="32">
                  <c:v>4.2</c:v>
                </c:pt>
              </c:numCache>
            </c:numRef>
          </c:xVal>
          <c:yVal>
            <c:numRef>
              <c:f>'141'!$D$5:$D$37</c:f>
              <c:numCache>
                <c:formatCode>General</c:formatCode>
                <c:ptCount val="33"/>
                <c:pt idx="0">
                  <c:v>0</c:v>
                </c:pt>
                <c:pt idx="1">
                  <c:v>1.08E-4</c:v>
                </c:pt>
                <c:pt idx="2">
                  <c:v>2.6499999999999999E-4</c:v>
                </c:pt>
                <c:pt idx="3">
                  <c:v>4.6700000000000002E-4</c:v>
                </c:pt>
                <c:pt idx="4">
                  <c:v>7.0799999999999997E-4</c:v>
                </c:pt>
                <c:pt idx="5">
                  <c:v>9.8499999999999998E-4</c:v>
                </c:pt>
                <c:pt idx="6">
                  <c:v>1.2899999999999999E-3</c:v>
                </c:pt>
                <c:pt idx="7">
                  <c:v>1.619E-3</c:v>
                </c:pt>
                <c:pt idx="8">
                  <c:v>1.9659999999999999E-3</c:v>
                </c:pt>
                <c:pt idx="9">
                  <c:v>2.3259999999999999E-3</c:v>
                </c:pt>
                <c:pt idx="10">
                  <c:v>2.6940000000000002E-3</c:v>
                </c:pt>
                <c:pt idx="11">
                  <c:v>3.0639999999999999E-3</c:v>
                </c:pt>
                <c:pt idx="12">
                  <c:v>3.431E-3</c:v>
                </c:pt>
                <c:pt idx="13">
                  <c:v>3.79E-3</c:v>
                </c:pt>
                <c:pt idx="14">
                  <c:v>4.1380000000000002E-3</c:v>
                </c:pt>
                <c:pt idx="15">
                  <c:v>4.4689999999999999E-3</c:v>
                </c:pt>
                <c:pt idx="16">
                  <c:v>4.7809999999999997E-3</c:v>
                </c:pt>
                <c:pt idx="17">
                  <c:v>5.0699999999999999E-3</c:v>
                </c:pt>
                <c:pt idx="18">
                  <c:v>5.3330000000000001E-3</c:v>
                </c:pt>
                <c:pt idx="19">
                  <c:v>5.5690000000000002E-3</c:v>
                </c:pt>
                <c:pt idx="20">
                  <c:v>5.7739999999999996E-3</c:v>
                </c:pt>
                <c:pt idx="21">
                  <c:v>5.9480000000000002E-3</c:v>
                </c:pt>
                <c:pt idx="22">
                  <c:v>6.0899999999999999E-3</c:v>
                </c:pt>
                <c:pt idx="23">
                  <c:v>6.1999999999999998E-3</c:v>
                </c:pt>
                <c:pt idx="24">
                  <c:v>6.2769999999999996E-3</c:v>
                </c:pt>
                <c:pt idx="25">
                  <c:v>6.3229999999999996E-3</c:v>
                </c:pt>
                <c:pt idx="26">
                  <c:v>6.3379999999999999E-3</c:v>
                </c:pt>
                <c:pt idx="27">
                  <c:v>6.3249999999999999E-3</c:v>
                </c:pt>
                <c:pt idx="28">
                  <c:v>6.2849999999999998E-3</c:v>
                </c:pt>
                <c:pt idx="29">
                  <c:v>6.221E-3</c:v>
                </c:pt>
                <c:pt idx="30">
                  <c:v>6.1339999999999997E-3</c:v>
                </c:pt>
                <c:pt idx="31">
                  <c:v>6.0299999999999998E-3</c:v>
                </c:pt>
                <c:pt idx="32">
                  <c:v>5.9100000000000003E-3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F0-46EE-BC84-664C465E31A1}"/>
            </c:ext>
          </c:extLst>
        </c:ser>
        <c:ser>
          <c:idx val="1"/>
          <c:order val="1"/>
          <c:tx>
            <c:v>Погрешность(2h)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'141'!$F$5:$F$21</c:f>
              <c:numCache>
                <c:formatCode>General</c:formatCode>
                <c:ptCount val="17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1.6</c:v>
                </c:pt>
                <c:pt idx="4">
                  <c:v>1.8</c:v>
                </c:pt>
                <c:pt idx="5">
                  <c:v>2</c:v>
                </c:pt>
                <c:pt idx="6">
                  <c:v>2.2000000000000002</c:v>
                </c:pt>
                <c:pt idx="7">
                  <c:v>2.4</c:v>
                </c:pt>
                <c:pt idx="8">
                  <c:v>2.6</c:v>
                </c:pt>
                <c:pt idx="9">
                  <c:v>2.8</c:v>
                </c:pt>
                <c:pt idx="10">
                  <c:v>3</c:v>
                </c:pt>
                <c:pt idx="11">
                  <c:v>3.2</c:v>
                </c:pt>
                <c:pt idx="12">
                  <c:v>3.4</c:v>
                </c:pt>
                <c:pt idx="13">
                  <c:v>3.6</c:v>
                </c:pt>
                <c:pt idx="14">
                  <c:v>3.8</c:v>
                </c:pt>
                <c:pt idx="15">
                  <c:v>4</c:v>
                </c:pt>
                <c:pt idx="16">
                  <c:v>4.2</c:v>
                </c:pt>
              </c:numCache>
            </c:numRef>
          </c:xVal>
          <c:yVal>
            <c:numRef>
              <c:f>'141'!$I$5:$I$21</c:f>
              <c:numCache>
                <c:formatCode>General</c:formatCode>
                <c:ptCount val="17"/>
                <c:pt idx="0">
                  <c:v>0</c:v>
                </c:pt>
                <c:pt idx="1">
                  <c:v>9.3300000000000002E-4</c:v>
                </c:pt>
                <c:pt idx="2">
                  <c:v>2.5530000000000001E-3</c:v>
                </c:pt>
                <c:pt idx="3">
                  <c:v>4.7140000000000003E-3</c:v>
                </c:pt>
                <c:pt idx="4">
                  <c:v>7.2529999999999999E-3</c:v>
                </c:pt>
                <c:pt idx="5">
                  <c:v>1.0004000000000001E-2</c:v>
                </c:pt>
                <c:pt idx="6">
                  <c:v>1.2805E-2</c:v>
                </c:pt>
                <c:pt idx="7">
                  <c:v>1.5502999999999999E-2</c:v>
                </c:pt>
                <c:pt idx="8">
                  <c:v>1.7965999999999999E-2</c:v>
                </c:pt>
                <c:pt idx="9">
                  <c:v>2.0083E-2</c:v>
                </c:pt>
                <c:pt idx="10">
                  <c:v>2.1772E-2</c:v>
                </c:pt>
                <c:pt idx="11">
                  <c:v>2.298E-2</c:v>
                </c:pt>
                <c:pt idx="12">
                  <c:v>2.3685999999999999E-2</c:v>
                </c:pt>
                <c:pt idx="13">
                  <c:v>2.3902E-2</c:v>
                </c:pt>
                <c:pt idx="14">
                  <c:v>2.3667000000000001E-2</c:v>
                </c:pt>
                <c:pt idx="15">
                  <c:v>2.3050000000000001E-2</c:v>
                </c:pt>
                <c:pt idx="16">
                  <c:v>2.2141000000000001E-2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F0-46EE-BC84-664C465E3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390712"/>
        <c:axId val="754391672"/>
      </c:scatterChart>
      <c:valAx>
        <c:axId val="754390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4391672"/>
        <c:crosses val="autoZero"/>
        <c:crossBetween val="midCat"/>
      </c:valAx>
      <c:valAx>
        <c:axId val="754391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4390712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381619</xdr:colOff>
      <xdr:row>1</xdr:row>
      <xdr:rowOff>94193</xdr:rowOff>
    </xdr:from>
    <xdr:to>
      <xdr:col>33</xdr:col>
      <xdr:colOff>249382</xdr:colOff>
      <xdr:row>37</xdr:row>
      <xdr:rowOff>41565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B2D70D3-1499-449C-B9C0-D178BD707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387928</xdr:colOff>
      <xdr:row>38</xdr:row>
      <xdr:rowOff>69272</xdr:rowOff>
    </xdr:from>
    <xdr:to>
      <xdr:col>35</xdr:col>
      <xdr:colOff>110836</xdr:colOff>
      <xdr:row>73</xdr:row>
      <xdr:rowOff>143529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1B30C52-5CA0-485A-BD2E-A573249B0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601266</xdr:colOff>
      <xdr:row>1</xdr:row>
      <xdr:rowOff>17460</xdr:rowOff>
    </xdr:from>
    <xdr:to>
      <xdr:col>28</xdr:col>
      <xdr:colOff>11076</xdr:colOff>
      <xdr:row>37</xdr:row>
      <xdr:rowOff>188283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14656C6-8B8F-5B12-B6A9-0E09DD687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45</xdr:row>
      <xdr:rowOff>0</xdr:rowOff>
    </xdr:from>
    <xdr:to>
      <xdr:col>28</xdr:col>
      <xdr:colOff>14776</xdr:colOff>
      <xdr:row>82</xdr:row>
      <xdr:rowOff>157951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6D1F444A-8A3D-44A8-9865-B53D55A84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2983\Downloads\Telegram%20Desktop\&#1079;_&#1050;&#1086;&#1096;&#1080;%20&#1076;&#1083;&#1103;%20&#1054;&#1044;&#1059;%20-%20&#1054;&#1073;&#1088;&#1072;&#1079;&#1077;&#1094;%201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илиппов №63"/>
      <sheetName val="Филиппов №141"/>
      <sheetName val="Филиппов №167"/>
    </sheetNames>
    <sheetDataSet>
      <sheetData sheetId="0">
        <row r="5">
          <cell r="A5">
            <v>0</v>
          </cell>
          <cell r="D5">
            <v>0</v>
          </cell>
          <cell r="F5">
            <v>0</v>
          </cell>
          <cell r="I5">
            <v>0</v>
          </cell>
        </row>
        <row r="6">
          <cell r="A6">
            <v>0.1</v>
          </cell>
          <cell r="D6">
            <v>1.7091807564773021E-4</v>
          </cell>
          <cell r="F6">
            <v>0.2</v>
          </cell>
          <cell r="I6">
            <v>1.4027581601696593E-3</v>
          </cell>
        </row>
        <row r="7">
          <cell r="A7">
            <v>0.2</v>
          </cell>
          <cell r="D7">
            <v>3.7275816016979491E-4</v>
          </cell>
          <cell r="F7">
            <v>0.4</v>
          </cell>
          <cell r="I7">
            <v>3.4246976412704022E-3</v>
          </cell>
        </row>
        <row r="8">
          <cell r="A8">
            <v>0.3</v>
          </cell>
          <cell r="D8">
            <v>6.2880757600303205E-4</v>
          </cell>
          <cell r="F8">
            <v>0.6</v>
          </cell>
          <cell r="I8">
            <v>6.2688003905089218E-3</v>
          </cell>
        </row>
        <row r="9">
          <cell r="A9">
            <v>0.4</v>
          </cell>
          <cell r="D9">
            <v>9.2469764127023346E-4</v>
          </cell>
          <cell r="F9">
            <v>0.8</v>
          </cell>
          <cell r="I9">
            <v>1.0210928492467852E-2</v>
          </cell>
        </row>
        <row r="10">
          <cell r="A10">
            <v>0.5</v>
          </cell>
          <cell r="D10">
            <v>1.2712707001281132E-3</v>
          </cell>
          <cell r="F10">
            <v>1</v>
          </cell>
          <cell r="I10">
            <v>1.5571828459045145E-2</v>
          </cell>
        </row>
        <row r="11">
          <cell r="A11">
            <v>0.6</v>
          </cell>
          <cell r="D11">
            <v>1.6888003905088933E-3</v>
          </cell>
          <cell r="F11">
            <v>1.2</v>
          </cell>
          <cell r="I11">
            <v>2.281692273654734E-2</v>
          </cell>
        </row>
        <row r="12">
          <cell r="A12">
            <v>0.7</v>
          </cell>
          <cell r="D12">
            <v>2.1827074704767746E-3</v>
          </cell>
          <cell r="F12">
            <v>1.4</v>
          </cell>
          <cell r="I12">
            <v>3.2489966844674534E-2</v>
          </cell>
        </row>
        <row r="13">
          <cell r="A13">
            <v>0.8</v>
          </cell>
          <cell r="D13">
            <v>2.7509284924678301E-3</v>
          </cell>
          <cell r="F13">
            <v>1.6</v>
          </cell>
          <cell r="I13">
            <v>4.5322424395114691E-2</v>
          </cell>
        </row>
        <row r="14">
          <cell r="A14">
            <v>0.9</v>
          </cell>
          <cell r="D14">
            <v>3.4231111569498207E-3</v>
          </cell>
          <cell r="F14">
            <v>1.8</v>
          </cell>
          <cell r="I14">
            <v>6.2247464412946485E-2</v>
          </cell>
        </row>
        <row r="15">
          <cell r="A15">
            <v>1</v>
          </cell>
          <cell r="D15">
            <v>4.2018284590450428E-3</v>
          </cell>
          <cell r="F15">
            <v>2</v>
          </cell>
          <cell r="I15">
            <v>8.4426098930650006E-2</v>
          </cell>
        </row>
        <row r="16">
          <cell r="A16">
            <v>1.1000000000000001</v>
          </cell>
          <cell r="D16">
            <v>5.1060239464331136E-3</v>
          </cell>
          <cell r="F16">
            <v>2.2000000000000002</v>
          </cell>
          <cell r="I16">
            <v>0.11336349943412127</v>
          </cell>
        </row>
        <row r="17">
          <cell r="A17">
            <v>1.2</v>
          </cell>
          <cell r="D17">
            <v>6.1569227365472212E-3</v>
          </cell>
          <cell r="F17">
            <v>2.4</v>
          </cell>
          <cell r="I17">
            <v>0.15096638064160128</v>
          </cell>
        </row>
        <row r="18">
          <cell r="A18">
            <v>1.3</v>
          </cell>
          <cell r="D18">
            <v>7.3666676192445379E-3</v>
          </cell>
          <cell r="F18">
            <v>2.6</v>
          </cell>
          <cell r="I18">
            <v>0.19963803500169064</v>
          </cell>
        </row>
        <row r="19">
          <cell r="A19">
            <v>1.4</v>
          </cell>
          <cell r="D19">
            <v>8.7699668446745704E-3</v>
          </cell>
          <cell r="F19">
            <v>2.8</v>
          </cell>
          <cell r="I19">
            <v>0.26244677109704817</v>
          </cell>
        </row>
        <row r="20">
          <cell r="A20">
            <v>1.5</v>
          </cell>
          <cell r="D20">
            <v>1.0389070338064688E-2</v>
          </cell>
          <cell r="F20">
            <v>3</v>
          </cell>
          <cell r="I20">
            <v>0.34323692318766774</v>
          </cell>
        </row>
        <row r="21">
          <cell r="A21">
            <v>1.6</v>
          </cell>
          <cell r="D21">
            <v>1.2242424395114693E-2</v>
          </cell>
          <cell r="F21">
            <v>3.2</v>
          </cell>
          <cell r="I21">
            <v>0.44693019710935289</v>
          </cell>
        </row>
        <row r="22">
          <cell r="A22">
            <v>1.7</v>
          </cell>
          <cell r="D22">
            <v>1.4377391727200095E-2</v>
          </cell>
          <cell r="F22">
            <v>3.4</v>
          </cell>
          <cell r="I22">
            <v>0.57970004739701153</v>
          </cell>
        </row>
        <row r="23">
          <cell r="A23">
            <v>1.8</v>
          </cell>
          <cell r="D23">
            <v>1.6817464412946403E-2</v>
          </cell>
          <cell r="F23">
            <v>3.6</v>
          </cell>
          <cell r="I23">
            <v>0.74923444367798808</v>
          </cell>
        </row>
        <row r="24">
          <cell r="A24">
            <v>1.9</v>
          </cell>
          <cell r="D24">
            <v>1.9614442279268562E-2</v>
          </cell>
          <cell r="F24">
            <v>3.8</v>
          </cell>
          <cell r="I24">
            <v>0.96538449330081022</v>
          </cell>
        </row>
        <row r="25">
          <cell r="A25">
            <v>2</v>
          </cell>
          <cell r="D25">
            <v>2.2826098930650573E-2</v>
          </cell>
          <cell r="F25">
            <v>4</v>
          </cell>
          <cell r="I25">
            <v>1.2405500331442383</v>
          </cell>
        </row>
        <row r="26">
          <cell r="A26">
            <v>2.1</v>
          </cell>
          <cell r="D26">
            <v>2.6479912567651809E-2</v>
          </cell>
          <cell r="F26">
            <v>4.2</v>
          </cell>
          <cell r="I26">
            <v>1.5900310409251546</v>
          </cell>
        </row>
        <row r="27">
          <cell r="A27">
            <v>2.2000000000000002</v>
          </cell>
          <cell r="D27">
            <v>3.0653499434121656E-2</v>
          </cell>
          <cell r="F27">
            <v>4.4000000000000004</v>
          </cell>
          <cell r="I27">
            <v>2.0333686649681368</v>
          </cell>
        </row>
        <row r="28">
          <cell r="A28">
            <v>2.2999999999999998</v>
          </cell>
          <cell r="D28">
            <v>3.542245481471884E-2</v>
          </cell>
          <cell r="F28">
            <v>4.5999999999999996</v>
          </cell>
          <cell r="I28">
            <v>2.5949156419337669</v>
          </cell>
        </row>
        <row r="29">
          <cell r="A29">
            <v>2.4</v>
          </cell>
          <cell r="D29">
            <v>4.0846380641601066E-2</v>
          </cell>
          <cell r="F29">
            <v>4.8</v>
          </cell>
          <cell r="I29">
            <v>3.3054175187348562</v>
          </cell>
        </row>
        <row r="30">
          <cell r="A30">
            <v>2.5</v>
          </cell>
          <cell r="D30">
            <v>4.7013960703473856E-2</v>
          </cell>
          <cell r="F30">
            <v>5</v>
          </cell>
          <cell r="I30">
            <v>4.203159102576592</v>
          </cell>
        </row>
        <row r="31">
          <cell r="A31">
            <v>2.6</v>
          </cell>
          <cell r="D31">
            <v>5.4028035001691066E-2</v>
          </cell>
        </row>
        <row r="32">
          <cell r="A32">
            <v>2.7</v>
          </cell>
          <cell r="D32">
            <v>6.2031724872836591E-2</v>
          </cell>
        </row>
        <row r="33">
          <cell r="A33">
            <v>2.8</v>
          </cell>
          <cell r="D33">
            <v>7.1046771097048378E-2</v>
          </cell>
        </row>
        <row r="34">
          <cell r="A34">
            <v>2.9</v>
          </cell>
          <cell r="D34">
            <v>8.1345369443059923E-2</v>
          </cell>
        </row>
        <row r="35">
          <cell r="A35">
            <v>3</v>
          </cell>
          <cell r="D35">
            <v>9.2936923187668441E-2</v>
          </cell>
        </row>
        <row r="36">
          <cell r="A36">
            <v>3.1</v>
          </cell>
          <cell r="D36">
            <v>0.10615128144163677</v>
          </cell>
        </row>
        <row r="37">
          <cell r="A37">
            <v>3.2</v>
          </cell>
          <cell r="D37">
            <v>0.12113019710935546</v>
          </cell>
        </row>
        <row r="38">
          <cell r="A38">
            <v>3.3</v>
          </cell>
          <cell r="D38">
            <v>0.13803892065788403</v>
          </cell>
        </row>
        <row r="39">
          <cell r="A39">
            <v>3.4</v>
          </cell>
          <cell r="D39">
            <v>0.15720004739700855</v>
          </cell>
        </row>
        <row r="40">
          <cell r="A40">
            <v>3.5</v>
          </cell>
          <cell r="D40">
            <v>0.1787519586923132</v>
          </cell>
        </row>
        <row r="41">
          <cell r="A41">
            <v>3.6</v>
          </cell>
          <cell r="D41">
            <v>0.20323444367798871</v>
          </cell>
        </row>
        <row r="42">
          <cell r="A42">
            <v>3.7</v>
          </cell>
          <cell r="D42">
            <v>0.23080436006740257</v>
          </cell>
        </row>
        <row r="43">
          <cell r="A43">
            <v>3.8</v>
          </cell>
          <cell r="D43">
            <v>0.2619844933008153</v>
          </cell>
        </row>
        <row r="44">
          <cell r="A44">
            <v>3.9</v>
          </cell>
          <cell r="D44">
            <v>0.29704910553017072</v>
          </cell>
        </row>
        <row r="45">
          <cell r="A45">
            <v>4</v>
          </cell>
          <cell r="D45">
            <v>0.33675003314423435</v>
          </cell>
        </row>
        <row r="46">
          <cell r="A46">
            <v>4.0999999999999996</v>
          </cell>
          <cell r="D46">
            <v>0.38138759736195027</v>
          </cell>
        </row>
        <row r="47">
          <cell r="A47">
            <v>4.2</v>
          </cell>
          <cell r="D47">
            <v>0.43183104092515379</v>
          </cell>
        </row>
        <row r="48">
          <cell r="A48">
            <v>4.3</v>
          </cell>
          <cell r="D48">
            <v>0.48849369959579292</v>
          </cell>
        </row>
        <row r="49">
          <cell r="A49">
            <v>4.4000000000000004</v>
          </cell>
          <cell r="D49">
            <v>0.5523686649681423</v>
          </cell>
        </row>
        <row r="50">
          <cell r="A50">
            <v>4.5</v>
          </cell>
          <cell r="D50">
            <v>0.62433130052181696</v>
          </cell>
        </row>
        <row r="51">
          <cell r="A51">
            <v>4.5999999999999996</v>
          </cell>
          <cell r="D51">
            <v>0.7053156419337796</v>
          </cell>
        </row>
        <row r="52">
          <cell r="A52">
            <v>4.7</v>
          </cell>
          <cell r="D52">
            <v>0.79617245212351406</v>
          </cell>
        </row>
        <row r="53">
          <cell r="A53">
            <v>4.8</v>
          </cell>
          <cell r="D53">
            <v>0.89841751873485975</v>
          </cell>
        </row>
        <row r="54">
          <cell r="A54">
            <v>4.9000000000000004</v>
          </cell>
          <cell r="D54">
            <v>1.0137796849355283</v>
          </cell>
        </row>
        <row r="55">
          <cell r="A55">
            <v>5</v>
          </cell>
          <cell r="D55">
            <v>1.1431591025765897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773A-9983-4B97-8585-5B7399CB66E9}">
  <dimension ref="A1:S65"/>
  <sheetViews>
    <sheetView zoomScale="40" zoomScaleNormal="55" workbookViewId="0">
      <selection activeCell="H33" sqref="H33:I33"/>
    </sheetView>
  </sheetViews>
  <sheetFormatPr defaultRowHeight="14.4" x14ac:dyDescent="0.3"/>
  <cols>
    <col min="1" max="1" width="8.5546875" style="2" customWidth="1"/>
    <col min="2" max="4" width="14.33203125" style="2" customWidth="1"/>
    <col min="5" max="5" width="7.6640625" style="2" customWidth="1"/>
    <col min="6" max="6" width="8.5546875" style="2" customWidth="1"/>
    <col min="7" max="9" width="14.33203125" style="2" customWidth="1"/>
  </cols>
  <sheetData>
    <row r="1" spans="1:19" x14ac:dyDescent="0.3">
      <c r="A1" s="60" t="s">
        <v>15</v>
      </c>
      <c r="B1" s="70"/>
      <c r="C1" s="72" t="s">
        <v>16</v>
      </c>
      <c r="D1" s="61"/>
      <c r="E1" s="3"/>
      <c r="F1" s="60" t="s">
        <v>17</v>
      </c>
      <c r="G1" s="70"/>
      <c r="H1" s="62" t="s">
        <v>18</v>
      </c>
      <c r="I1" s="61"/>
    </row>
    <row r="2" spans="1:19" ht="15" customHeight="1" x14ac:dyDescent="0.3">
      <c r="A2" s="67"/>
      <c r="B2" s="71"/>
      <c r="C2" s="73"/>
      <c r="D2" s="69"/>
      <c r="E2" s="3"/>
      <c r="F2" s="67"/>
      <c r="G2" s="71"/>
      <c r="H2" s="68"/>
      <c r="I2" s="69"/>
    </row>
    <row r="3" spans="1:19" ht="15.6" x14ac:dyDescent="0.3">
      <c r="A3" s="74" t="s">
        <v>0</v>
      </c>
      <c r="B3" s="75" t="s">
        <v>1</v>
      </c>
      <c r="C3" s="76" t="s">
        <v>19</v>
      </c>
      <c r="D3" s="77" t="s">
        <v>2</v>
      </c>
      <c r="F3" s="63" t="s">
        <v>0</v>
      </c>
      <c r="G3" s="64" t="s">
        <v>1</v>
      </c>
      <c r="H3" s="65" t="s">
        <v>19</v>
      </c>
      <c r="I3" s="66" t="s">
        <v>2</v>
      </c>
    </row>
    <row r="4" spans="1:19" s="2" customFormat="1" x14ac:dyDescent="0.3">
      <c r="A4" s="48">
        <v>0</v>
      </c>
      <c r="B4" s="49">
        <v>2</v>
      </c>
      <c r="C4" s="49">
        <v>2</v>
      </c>
      <c r="D4" s="50">
        <v>0</v>
      </c>
      <c r="F4" s="57">
        <v>0</v>
      </c>
      <c r="G4" s="58">
        <v>2</v>
      </c>
      <c r="H4" s="58">
        <v>2</v>
      </c>
      <c r="I4" s="59">
        <v>0</v>
      </c>
      <c r="N4" s="8"/>
      <c r="O4" s="8"/>
      <c r="P4" s="8"/>
      <c r="Q4" s="8"/>
      <c r="R4" s="8"/>
      <c r="S4" s="8"/>
    </row>
    <row r="5" spans="1:19" x14ac:dyDescent="0.3">
      <c r="A5" s="45">
        <v>0.1</v>
      </c>
      <c r="B5" s="46">
        <v>1.905</v>
      </c>
      <c r="C5" s="46">
        <v>1.9051709999999999</v>
      </c>
      <c r="D5" s="47">
        <v>1.7100000000000001E-4</v>
      </c>
      <c r="F5" s="51">
        <v>0.2</v>
      </c>
      <c r="G5" s="52">
        <v>1.82</v>
      </c>
      <c r="H5" s="52">
        <v>1.8214030000000001</v>
      </c>
      <c r="I5" s="53">
        <v>1.403E-3</v>
      </c>
    </row>
    <row r="6" spans="1:19" x14ac:dyDescent="0.3">
      <c r="A6" s="42">
        <v>0.2</v>
      </c>
      <c r="B6" s="43">
        <v>1.8210249999999999</v>
      </c>
      <c r="C6" s="43">
        <v>1.8214030000000001</v>
      </c>
      <c r="D6" s="44">
        <v>3.7800000000000003E-4</v>
      </c>
      <c r="F6" s="54">
        <v>0.4</v>
      </c>
      <c r="G6" s="55">
        <v>1.6883999999999999</v>
      </c>
      <c r="H6" s="55">
        <v>1.6918249999999999</v>
      </c>
      <c r="I6" s="56">
        <v>3.4250000000000001E-3</v>
      </c>
    </row>
    <row r="7" spans="1:19" x14ac:dyDescent="0.3">
      <c r="A7" s="45">
        <v>0.3</v>
      </c>
      <c r="B7" s="46">
        <v>1.749233</v>
      </c>
      <c r="C7" s="46">
        <v>1.7498590000000001</v>
      </c>
      <c r="D7" s="47">
        <v>6.2600000000000004E-4</v>
      </c>
      <c r="F7" s="51">
        <v>0.6</v>
      </c>
      <c r="G7" s="52">
        <v>1.615848</v>
      </c>
      <c r="H7" s="52">
        <v>1.6221190000000001</v>
      </c>
      <c r="I7" s="53">
        <v>6.2709999999999997E-3</v>
      </c>
    </row>
    <row r="8" spans="1:19" x14ac:dyDescent="0.3">
      <c r="A8" s="42">
        <v>0.4</v>
      </c>
      <c r="B8" s="43">
        <v>1.6909019999999999</v>
      </c>
      <c r="C8" s="43">
        <v>1.6918249999999999</v>
      </c>
      <c r="D8" s="44">
        <v>9.2299999999999999E-4</v>
      </c>
      <c r="F8" s="54">
        <v>0.8</v>
      </c>
      <c r="G8" s="55">
        <v>1.615335</v>
      </c>
      <c r="H8" s="55">
        <v>1.6255409999999999</v>
      </c>
      <c r="I8" s="56">
        <v>1.0206E-2</v>
      </c>
    </row>
    <row r="9" spans="1:19" x14ac:dyDescent="0.3">
      <c r="A9" s="45">
        <v>0.5</v>
      </c>
      <c r="B9" s="46">
        <v>1.6474470000000001</v>
      </c>
      <c r="C9" s="46">
        <v>1.6487210000000001</v>
      </c>
      <c r="D9" s="47">
        <v>1.2750000000000001E-3</v>
      </c>
      <c r="F9" s="51">
        <v>1</v>
      </c>
      <c r="G9" s="52">
        <v>1.7027080000000001</v>
      </c>
      <c r="H9" s="52">
        <v>1.7182820000000001</v>
      </c>
      <c r="I9" s="53">
        <v>1.5573999999999999E-2</v>
      </c>
    </row>
    <row r="10" spans="1:19" x14ac:dyDescent="0.3">
      <c r="A10" s="42">
        <v>0.6</v>
      </c>
      <c r="B10" s="43">
        <v>1.6204289999999999</v>
      </c>
      <c r="C10" s="43">
        <v>1.6221190000000001</v>
      </c>
      <c r="D10" s="44">
        <v>1.6900000000000001E-3</v>
      </c>
      <c r="F10" s="54">
        <v>1.2</v>
      </c>
      <c r="G10" s="55">
        <v>1.8973040000000001</v>
      </c>
      <c r="H10" s="55">
        <v>1.9201170000000001</v>
      </c>
      <c r="I10" s="56">
        <v>2.2813E-2</v>
      </c>
    </row>
    <row r="11" spans="1:19" x14ac:dyDescent="0.3">
      <c r="A11" s="45">
        <v>0.7</v>
      </c>
      <c r="B11" s="46">
        <v>1.6115740000000001</v>
      </c>
      <c r="C11" s="46">
        <v>1.613753</v>
      </c>
      <c r="D11" s="47">
        <v>2.1789999999999999E-3</v>
      </c>
      <c r="F11" s="51">
        <v>1.4</v>
      </c>
      <c r="G11" s="52">
        <v>2.2227109999999999</v>
      </c>
      <c r="H11" s="52">
        <v>2.2551999999999999</v>
      </c>
      <c r="I11" s="53">
        <v>3.2488999999999997E-2</v>
      </c>
    </row>
    <row r="12" spans="1:19" x14ac:dyDescent="0.3">
      <c r="A12" s="42">
        <v>0.8</v>
      </c>
      <c r="B12" s="43">
        <v>1.622789</v>
      </c>
      <c r="C12" s="43">
        <v>1.6255409999999999</v>
      </c>
      <c r="D12" s="44">
        <v>2.7520000000000001E-3</v>
      </c>
      <c r="F12" s="54">
        <v>1.6</v>
      </c>
      <c r="G12" s="55">
        <v>2.7077070000000001</v>
      </c>
      <c r="H12" s="55">
        <v>2.7530320000000001</v>
      </c>
      <c r="I12" s="56">
        <v>4.5324999999999997E-2</v>
      </c>
    </row>
    <row r="13" spans="1:19" x14ac:dyDescent="0.3">
      <c r="A13" s="45">
        <v>0.9</v>
      </c>
      <c r="B13" s="46">
        <v>1.656182</v>
      </c>
      <c r="C13" s="46">
        <v>1.6596029999999999</v>
      </c>
      <c r="D13" s="47">
        <v>3.421E-3</v>
      </c>
      <c r="F13" s="51">
        <v>1.8</v>
      </c>
      <c r="G13" s="52">
        <v>3.3874029999999999</v>
      </c>
      <c r="H13" s="52">
        <v>3.4496470000000001</v>
      </c>
      <c r="I13" s="53">
        <v>6.2245000000000002E-2</v>
      </c>
    </row>
    <row r="14" spans="1:19" x14ac:dyDescent="0.3">
      <c r="A14" s="42">
        <v>1</v>
      </c>
      <c r="B14" s="43">
        <v>1.714081</v>
      </c>
      <c r="C14" s="43">
        <v>1.7182820000000001</v>
      </c>
      <c r="D14" s="44">
        <v>4.2009999999999999E-3</v>
      </c>
      <c r="F14" s="54">
        <v>2</v>
      </c>
      <c r="G14" s="55">
        <v>4.3046309999999997</v>
      </c>
      <c r="H14" s="55">
        <v>4.3890560000000001</v>
      </c>
      <c r="I14" s="56">
        <v>8.4425E-2</v>
      </c>
    </row>
    <row r="15" spans="1:19" x14ac:dyDescent="0.3">
      <c r="A15" s="45">
        <v>1.1000000000000001</v>
      </c>
      <c r="B15" s="46">
        <v>1.799059</v>
      </c>
      <c r="C15" s="46">
        <v>1.8041659999999999</v>
      </c>
      <c r="D15" s="47">
        <v>5.1070000000000004E-3</v>
      </c>
      <c r="F15" s="51">
        <v>2.2000000000000002</v>
      </c>
      <c r="G15" s="52">
        <v>5.5116500000000004</v>
      </c>
      <c r="H15" s="52">
        <v>5.625013</v>
      </c>
      <c r="I15" s="53">
        <v>0.11336300000000001</v>
      </c>
    </row>
    <row r="16" spans="1:19" x14ac:dyDescent="0.3">
      <c r="A16" s="42">
        <v>1.2</v>
      </c>
      <c r="B16" s="43">
        <v>1.913961</v>
      </c>
      <c r="C16" s="43">
        <v>1.9201170000000001</v>
      </c>
      <c r="D16" s="44">
        <v>6.156E-3</v>
      </c>
      <c r="F16" s="54">
        <v>2.4</v>
      </c>
      <c r="G16" s="55">
        <v>7.0722129999999996</v>
      </c>
      <c r="H16" s="55">
        <v>7.2231759999999996</v>
      </c>
      <c r="I16" s="56">
        <v>0.15096300000000001</v>
      </c>
    </row>
    <row r="17" spans="1:10" x14ac:dyDescent="0.3">
      <c r="A17" s="45">
        <v>1.3</v>
      </c>
      <c r="B17" s="46">
        <v>2.0619260000000001</v>
      </c>
      <c r="C17" s="46">
        <v>2.0692970000000002</v>
      </c>
      <c r="D17" s="47">
        <v>7.3699999999999998E-3</v>
      </c>
      <c r="F17" s="51">
        <v>2.6</v>
      </c>
      <c r="G17" s="52">
        <v>9.0640999999999998</v>
      </c>
      <c r="H17" s="52">
        <v>9.263738</v>
      </c>
      <c r="I17" s="53">
        <v>0.19963800000000001</v>
      </c>
    </row>
    <row r="18" spans="1:10" x14ac:dyDescent="0.3">
      <c r="A18" s="42">
        <v>1.4</v>
      </c>
      <c r="B18" s="43">
        <v>2.246429</v>
      </c>
      <c r="C18" s="43">
        <v>2.2551999999999999</v>
      </c>
      <c r="D18" s="44">
        <v>8.7709999999999993E-3</v>
      </c>
      <c r="F18" s="54">
        <v>2.8</v>
      </c>
      <c r="G18" s="55">
        <v>11.582202000000001</v>
      </c>
      <c r="H18" s="55">
        <v>11.844647</v>
      </c>
      <c r="I18" s="56">
        <v>0.26244400000000001</v>
      </c>
    </row>
    <row r="19" spans="1:10" x14ac:dyDescent="0.3">
      <c r="A19" s="45">
        <v>1.5</v>
      </c>
      <c r="B19" s="46">
        <v>2.4713039999999999</v>
      </c>
      <c r="C19" s="46">
        <v>2.4816889999999998</v>
      </c>
      <c r="D19" s="47">
        <v>1.0385E-2</v>
      </c>
      <c r="F19" s="51">
        <v>3</v>
      </c>
      <c r="G19" s="52">
        <v>14.742286999999999</v>
      </c>
      <c r="H19" s="52">
        <v>15.085537</v>
      </c>
      <c r="I19" s="53">
        <v>0.34325</v>
      </c>
    </row>
    <row r="20" spans="1:10" x14ac:dyDescent="0.3">
      <c r="A20" s="42">
        <v>1.6</v>
      </c>
      <c r="B20" s="43">
        <v>2.7407910000000002</v>
      </c>
      <c r="C20" s="43">
        <v>2.7530320000000001</v>
      </c>
      <c r="D20" s="44">
        <v>1.2241999999999999E-2</v>
      </c>
      <c r="F20" s="54">
        <v>3.2</v>
      </c>
      <c r="G20" s="55">
        <v>18.685590000000001</v>
      </c>
      <c r="H20" s="55">
        <v>19.132529999999999</v>
      </c>
      <c r="I20" s="56">
        <v>0.44694</v>
      </c>
    </row>
    <row r="21" spans="1:10" x14ac:dyDescent="0.3">
      <c r="A21" s="45">
        <v>1.7</v>
      </c>
      <c r="B21" s="46">
        <v>3.059574</v>
      </c>
      <c r="C21" s="46">
        <v>3.073947</v>
      </c>
      <c r="D21" s="47">
        <v>1.4374E-2</v>
      </c>
      <c r="F21" s="51">
        <v>3.4</v>
      </c>
      <c r="G21" s="52">
        <v>23.584420000000001</v>
      </c>
      <c r="H21" s="52">
        <v>24.164100000000001</v>
      </c>
      <c r="I21" s="53">
        <v>0.57967999999999997</v>
      </c>
    </row>
    <row r="22" spans="1:10" x14ac:dyDescent="0.3">
      <c r="A22" s="42">
        <v>1.8</v>
      </c>
      <c r="B22" s="43">
        <v>3.4328289999999999</v>
      </c>
      <c r="C22" s="43">
        <v>3.4496470000000001</v>
      </c>
      <c r="D22" s="44">
        <v>1.6819000000000001E-2</v>
      </c>
      <c r="F22" s="54">
        <v>3.6</v>
      </c>
      <c r="G22" s="55">
        <v>29.648992</v>
      </c>
      <c r="H22" s="55">
        <v>30.398233999999999</v>
      </c>
      <c r="I22" s="56">
        <v>0.74924199999999996</v>
      </c>
    </row>
    <row r="23" spans="1:10" x14ac:dyDescent="0.3">
      <c r="A23" s="45">
        <v>1.9</v>
      </c>
      <c r="B23" s="46">
        <v>3.866276</v>
      </c>
      <c r="C23" s="46">
        <v>3.885894</v>
      </c>
      <c r="D23" s="47">
        <v>1.9619000000000001E-2</v>
      </c>
      <c r="F23" s="51">
        <v>3.8</v>
      </c>
      <c r="G23" s="52">
        <v>37.135770999999998</v>
      </c>
      <c r="H23" s="52">
        <v>38.101184000000003</v>
      </c>
      <c r="I23" s="53">
        <v>0.96541399999999999</v>
      </c>
    </row>
    <row r="24" spans="1:10" x14ac:dyDescent="0.3">
      <c r="A24" s="42">
        <v>2</v>
      </c>
      <c r="B24" s="43">
        <v>4.3662349999999996</v>
      </c>
      <c r="C24" s="43">
        <v>4.3890560000000001</v>
      </c>
      <c r="D24" s="44">
        <v>2.2821000000000001E-2</v>
      </c>
      <c r="F24" s="54">
        <v>4</v>
      </c>
      <c r="G24" s="55">
        <v>46.357640000000004</v>
      </c>
      <c r="H24" s="55">
        <v>47.598149999999997</v>
      </c>
      <c r="I24" s="56">
        <v>1.24051</v>
      </c>
    </row>
    <row r="25" spans="1:10" x14ac:dyDescent="0.3">
      <c r="A25" s="45">
        <v>2.1</v>
      </c>
      <c r="B25" s="46">
        <v>4.9396899999999997</v>
      </c>
      <c r="C25" s="46">
        <v>4.96617</v>
      </c>
      <c r="D25" s="47">
        <v>2.648E-2</v>
      </c>
      <c r="F25" s="51">
        <v>4.2</v>
      </c>
      <c r="G25" s="52">
        <v>57.696320999999998</v>
      </c>
      <c r="H25" s="52">
        <v>59.286330999999997</v>
      </c>
      <c r="I25" s="53">
        <v>1.5900099999999999</v>
      </c>
    </row>
    <row r="26" spans="1:10" x14ac:dyDescent="0.3">
      <c r="A26" s="42">
        <v>2.2000000000000002</v>
      </c>
      <c r="B26" s="43">
        <v>5.5943569999999996</v>
      </c>
      <c r="C26" s="43">
        <v>5.625013</v>
      </c>
      <c r="D26" s="44">
        <v>3.0657E-2</v>
      </c>
      <c r="F26" s="54">
        <v>4.4000000000000004</v>
      </c>
      <c r="G26" s="55">
        <v>71.617512000000005</v>
      </c>
      <c r="H26" s="55">
        <v>73.650869</v>
      </c>
      <c r="I26" s="56">
        <v>2.0333570000000001</v>
      </c>
    </row>
    <row r="27" spans="1:10" x14ac:dyDescent="0.3">
      <c r="A27" s="45">
        <v>2.2999999999999998</v>
      </c>
      <c r="B27" s="46">
        <v>6.3387640000000003</v>
      </c>
      <c r="C27" s="46">
        <v>6.3741820000000002</v>
      </c>
      <c r="D27" s="47">
        <v>3.5417999999999998E-2</v>
      </c>
      <c r="F27" s="51">
        <v>4.5999999999999996</v>
      </c>
      <c r="G27" s="52">
        <v>88.689363999999998</v>
      </c>
      <c r="H27" s="52">
        <v>91.284316000000004</v>
      </c>
      <c r="I27" s="53">
        <v>2.5949520000000001</v>
      </c>
    </row>
    <row r="28" spans="1:10" x14ac:dyDescent="0.3">
      <c r="A28" s="42">
        <v>2.4</v>
      </c>
      <c r="B28" s="43">
        <v>7.1823350000000001</v>
      </c>
      <c r="C28" s="43">
        <v>7.2231759999999996</v>
      </c>
      <c r="D28" s="44">
        <v>4.0842000000000003E-2</v>
      </c>
      <c r="F28" s="54">
        <v>4.8</v>
      </c>
      <c r="G28" s="55">
        <v>109.605024</v>
      </c>
      <c r="H28" s="55">
        <v>112.91041800000001</v>
      </c>
      <c r="I28" s="56">
        <v>3.305393</v>
      </c>
    </row>
    <row r="29" spans="1:10" x14ac:dyDescent="0.3">
      <c r="A29" s="45">
        <v>2.5</v>
      </c>
      <c r="B29" s="46">
        <v>8.1354799999999994</v>
      </c>
      <c r="C29" s="46">
        <v>8.1824940000000002</v>
      </c>
      <c r="D29" s="47">
        <v>4.7014E-2</v>
      </c>
      <c r="F29" s="51">
        <v>5</v>
      </c>
      <c r="G29" s="52">
        <v>135.21012999999999</v>
      </c>
      <c r="H29" s="52">
        <v>139.41315900000001</v>
      </c>
      <c r="I29" s="53">
        <v>4.20303</v>
      </c>
    </row>
    <row r="30" spans="1:10" x14ac:dyDescent="0.3">
      <c r="A30" s="42">
        <v>2.6</v>
      </c>
      <c r="B30" s="43">
        <v>9.2097049999999996</v>
      </c>
      <c r="C30" s="43">
        <v>9.263738</v>
      </c>
      <c r="D30" s="44">
        <v>5.4032999999999998E-2</v>
      </c>
    </row>
    <row r="31" spans="1:10" x14ac:dyDescent="0.3">
      <c r="A31" s="45">
        <v>2.7</v>
      </c>
      <c r="B31" s="46">
        <v>10.417724</v>
      </c>
      <c r="C31" s="46">
        <v>10.479732</v>
      </c>
      <c r="D31" s="47">
        <v>6.2008000000000001E-2</v>
      </c>
      <c r="F31" s="9"/>
      <c r="G31" s="9"/>
      <c r="H31" s="9"/>
      <c r="I31" s="9"/>
    </row>
    <row r="32" spans="1:10" x14ac:dyDescent="0.3">
      <c r="A32" s="42">
        <v>2.8</v>
      </c>
      <c r="B32" s="43">
        <v>11.773585000000001</v>
      </c>
      <c r="C32" s="43">
        <v>11.844647</v>
      </c>
      <c r="D32" s="44">
        <v>7.1062E-2</v>
      </c>
      <c r="F32" s="9"/>
      <c r="G32" s="9"/>
      <c r="H32" s="9"/>
      <c r="I32" s="9"/>
      <c r="J32" s="9"/>
    </row>
    <row r="33" spans="1:16" ht="15.75" customHeight="1" x14ac:dyDescent="0.3">
      <c r="A33" s="45">
        <v>2.9</v>
      </c>
      <c r="B33" s="46">
        <v>13.292812</v>
      </c>
      <c r="C33" s="46">
        <v>13.374145</v>
      </c>
      <c r="D33" s="47">
        <v>8.1334000000000004E-2</v>
      </c>
      <c r="F33" s="9"/>
      <c r="G33" s="9"/>
      <c r="H33" s="79" t="s">
        <v>23</v>
      </c>
      <c r="I33" s="80"/>
      <c r="J33" s="9"/>
    </row>
    <row r="34" spans="1:16" ht="15.75" customHeight="1" x14ac:dyDescent="0.3">
      <c r="A34" s="42">
        <v>3</v>
      </c>
      <c r="B34" s="43">
        <v>14.992557</v>
      </c>
      <c r="C34" s="43">
        <v>15.085537</v>
      </c>
      <c r="D34" s="44">
        <v>9.2979999999999993E-2</v>
      </c>
      <c r="F34" s="9"/>
      <c r="G34" s="9"/>
      <c r="H34" s="81" t="s">
        <v>21</v>
      </c>
      <c r="I34" s="80"/>
      <c r="J34" s="9"/>
      <c r="N34" s="2"/>
    </row>
    <row r="35" spans="1:16" x14ac:dyDescent="0.3">
      <c r="A35" s="45">
        <v>3.1</v>
      </c>
      <c r="B35" s="46">
        <v>16.891774999999999</v>
      </c>
      <c r="C35" s="46">
        <v>16.997951</v>
      </c>
      <c r="D35" s="47">
        <v>0.10617600000000001</v>
      </c>
      <c r="F35" s="9"/>
      <c r="G35" s="9"/>
      <c r="H35" s="80"/>
      <c r="I35" s="80"/>
      <c r="J35" s="9"/>
      <c r="N35" s="2"/>
    </row>
    <row r="36" spans="1:16" x14ac:dyDescent="0.3">
      <c r="A36" s="42">
        <v>3.2</v>
      </c>
      <c r="B36" s="43">
        <v>19.011412</v>
      </c>
      <c r="C36" s="43">
        <v>19.132529999999999</v>
      </c>
      <c r="D36" s="44">
        <v>0.121118</v>
      </c>
      <c r="F36" s="9"/>
      <c r="G36" s="9"/>
      <c r="H36" s="80"/>
      <c r="I36" s="80"/>
      <c r="J36" s="9"/>
    </row>
    <row r="37" spans="1:16" ht="15.75" customHeight="1" x14ac:dyDescent="0.3">
      <c r="A37" s="45">
        <v>3.3</v>
      </c>
      <c r="B37" s="46">
        <v>21.374610000000001</v>
      </c>
      <c r="C37" s="46">
        <v>21.512639</v>
      </c>
      <c r="D37" s="47">
        <v>0.13802900000000001</v>
      </c>
      <c r="F37" s="9"/>
      <c r="G37" s="9"/>
      <c r="H37" s="9"/>
      <c r="I37" s="78"/>
      <c r="J37" s="9"/>
    </row>
    <row r="38" spans="1:16" ht="15.75" customHeight="1" x14ac:dyDescent="0.3">
      <c r="A38" s="42">
        <v>3.4</v>
      </c>
      <c r="B38" s="43">
        <v>24.006944000000001</v>
      </c>
      <c r="C38" s="43">
        <v>24.164100000000001</v>
      </c>
      <c r="D38" s="44">
        <v>0.15715599999999999</v>
      </c>
      <c r="F38" s="9"/>
      <c r="G38" s="9"/>
      <c r="H38" s="79" t="s">
        <v>22</v>
      </c>
      <c r="I38" s="80"/>
      <c r="J38" s="9"/>
    </row>
    <row r="39" spans="1:16" ht="15.75" customHeight="1" x14ac:dyDescent="0.3">
      <c r="A39" s="45">
        <v>3.5</v>
      </c>
      <c r="B39" s="46">
        <v>26.936672999999999</v>
      </c>
      <c r="C39" s="46">
        <v>27.115452000000001</v>
      </c>
      <c r="D39" s="47">
        <v>0.17877899999999999</v>
      </c>
      <c r="F39" s="9"/>
      <c r="G39" s="9"/>
      <c r="H39" s="81" t="s">
        <v>24</v>
      </c>
      <c r="I39" s="80"/>
      <c r="J39" s="9"/>
    </row>
    <row r="40" spans="1:16" x14ac:dyDescent="0.3">
      <c r="A40" s="42">
        <v>3.6</v>
      </c>
      <c r="B40" s="43">
        <v>30.195024</v>
      </c>
      <c r="C40" s="43">
        <v>30.398233999999999</v>
      </c>
      <c r="D40" s="44">
        <v>0.203211</v>
      </c>
      <c r="F40" s="9"/>
      <c r="G40" s="9"/>
      <c r="H40" s="80"/>
      <c r="I40" s="80"/>
      <c r="J40" s="9"/>
      <c r="O40" s="2"/>
    </row>
    <row r="41" spans="1:16" x14ac:dyDescent="0.3">
      <c r="A41" s="45">
        <v>3.7</v>
      </c>
      <c r="B41" s="46">
        <v>33.816501000000002</v>
      </c>
      <c r="C41" s="46">
        <v>34.047303999999997</v>
      </c>
      <c r="D41" s="47">
        <v>0.23080300000000001</v>
      </c>
      <c r="F41" s="9"/>
      <c r="G41" s="9"/>
      <c r="H41" s="80"/>
      <c r="I41" s="80"/>
      <c r="J41" s="9"/>
      <c r="O41" s="2"/>
      <c r="P41" s="1"/>
    </row>
    <row r="42" spans="1:16" x14ac:dyDescent="0.3">
      <c r="A42" s="42">
        <v>3.8</v>
      </c>
      <c r="B42" s="43">
        <v>37.839233999999998</v>
      </c>
      <c r="C42" s="43">
        <v>38.101184000000003</v>
      </c>
      <c r="D42" s="44">
        <v>0.26195000000000002</v>
      </c>
      <c r="F42" s="9"/>
      <c r="G42" s="9"/>
      <c r="H42" s="9"/>
      <c r="I42" s="9"/>
      <c r="J42" s="9"/>
    </row>
    <row r="43" spans="1:16" x14ac:dyDescent="0.3">
      <c r="A43" s="45">
        <v>3.9</v>
      </c>
      <c r="B43" s="46">
        <v>42.305354000000001</v>
      </c>
      <c r="C43" s="46">
        <v>42.602449</v>
      </c>
      <c r="D43" s="47">
        <v>0.297095</v>
      </c>
      <c r="J43" s="9"/>
    </row>
    <row r="44" spans="1:16" x14ac:dyDescent="0.3">
      <c r="A44" s="42">
        <v>4</v>
      </c>
      <c r="B44" s="43">
        <v>47.261415999999997</v>
      </c>
      <c r="C44" s="43">
        <v>47.598149999999997</v>
      </c>
      <c r="D44" s="44">
        <v>0.33673399999999998</v>
      </c>
    </row>
    <row r="45" spans="1:16" x14ac:dyDescent="0.3">
      <c r="A45" s="45">
        <v>4.0999999999999996</v>
      </c>
      <c r="B45" s="46">
        <v>52.758864000000003</v>
      </c>
      <c r="C45" s="46">
        <v>53.140287999999998</v>
      </c>
      <c r="D45" s="47">
        <v>0.38142300000000001</v>
      </c>
    </row>
    <row r="46" spans="1:16" x14ac:dyDescent="0.3">
      <c r="A46" s="42">
        <v>4.2</v>
      </c>
      <c r="B46" s="43">
        <v>58.854545000000002</v>
      </c>
      <c r="C46" s="43">
        <v>59.286330999999997</v>
      </c>
      <c r="D46" s="44">
        <v>0.431786</v>
      </c>
    </row>
    <row r="47" spans="1:16" x14ac:dyDescent="0.3">
      <c r="A47" s="45">
        <v>4.3</v>
      </c>
      <c r="B47" s="46">
        <v>65.611272</v>
      </c>
      <c r="C47" s="46">
        <v>66.099794000000003</v>
      </c>
      <c r="D47" s="47">
        <v>0.48852099999999998</v>
      </c>
    </row>
    <row r="48" spans="1:16" x14ac:dyDescent="0.3">
      <c r="A48" s="42">
        <v>4.4000000000000004</v>
      </c>
      <c r="B48" s="43">
        <v>73.098455999999999</v>
      </c>
      <c r="C48" s="43">
        <v>73.650869</v>
      </c>
      <c r="D48" s="44">
        <v>0.55241300000000004</v>
      </c>
    </row>
    <row r="49" spans="1:14" x14ac:dyDescent="0.3">
      <c r="A49" s="45">
        <v>4.5</v>
      </c>
      <c r="B49" s="46">
        <v>81.392793999999995</v>
      </c>
      <c r="C49" s="46">
        <v>82.017131000000006</v>
      </c>
      <c r="D49" s="47">
        <v>0.62433700000000003</v>
      </c>
    </row>
    <row r="50" spans="1:14" x14ac:dyDescent="0.3">
      <c r="A50" s="42">
        <v>4.5999999999999996</v>
      </c>
      <c r="B50" s="43">
        <v>90.579037</v>
      </c>
      <c r="C50" s="43">
        <v>91.284316000000004</v>
      </c>
      <c r="D50" s="44">
        <v>0.70527799999999996</v>
      </c>
    </row>
    <row r="51" spans="1:14" x14ac:dyDescent="0.3">
      <c r="A51" s="45">
        <v>4.7</v>
      </c>
      <c r="B51" s="46">
        <v>100.75083600000001</v>
      </c>
      <c r="C51" s="46">
        <v>101.547172</v>
      </c>
      <c r="D51" s="47">
        <v>0.79633600000000004</v>
      </c>
    </row>
    <row r="52" spans="1:14" x14ac:dyDescent="0.3">
      <c r="A52" s="42">
        <v>4.8</v>
      </c>
      <c r="B52" s="43">
        <v>112.011674</v>
      </c>
      <c r="C52" s="43">
        <v>112.91041800000001</v>
      </c>
      <c r="D52" s="44">
        <v>0.89874399999999999</v>
      </c>
    </row>
    <row r="53" spans="1:14" x14ac:dyDescent="0.3">
      <c r="A53" s="45">
        <v>4.9000000000000004</v>
      </c>
      <c r="B53" s="46">
        <v>124.4759</v>
      </c>
      <c r="C53" s="46">
        <v>125.48978</v>
      </c>
      <c r="D53" s="47">
        <v>1.0138799999999999</v>
      </c>
    </row>
    <row r="54" spans="1:14" x14ac:dyDescent="0.3">
      <c r="A54" s="42">
        <v>5</v>
      </c>
      <c r="B54" s="43">
        <v>138.269869</v>
      </c>
      <c r="C54" s="43">
        <v>139.41315900000001</v>
      </c>
      <c r="D54" s="44">
        <v>1.1432899999999999</v>
      </c>
    </row>
    <row r="58" spans="1:14" ht="15" thickBot="1" x14ac:dyDescent="0.35">
      <c r="C58"/>
      <c r="D58"/>
      <c r="E58"/>
      <c r="F58"/>
      <c r="G58"/>
      <c r="H58"/>
      <c r="I58"/>
    </row>
    <row r="59" spans="1:14" x14ac:dyDescent="0.3">
      <c r="C59" s="22" t="s">
        <v>6</v>
      </c>
      <c r="D59" s="23"/>
      <c r="E59" s="23"/>
      <c r="F59" s="24" t="s">
        <v>7</v>
      </c>
      <c r="G59" s="24"/>
      <c r="H59" s="24"/>
      <c r="I59" s="23" t="s">
        <v>8</v>
      </c>
      <c r="J59" s="23"/>
      <c r="K59" s="25"/>
      <c r="L59" s="18" t="s">
        <v>20</v>
      </c>
      <c r="M59" s="18"/>
      <c r="N59" s="19"/>
    </row>
    <row r="60" spans="1:14" ht="15" thickBot="1" x14ac:dyDescent="0.35">
      <c r="C60" s="26">
        <f>MAX(D4:D54)</f>
        <v>1.1432899999999999</v>
      </c>
      <c r="D60" s="27"/>
      <c r="E60" s="27"/>
      <c r="F60" s="27">
        <f>MAX(I4:I29)</f>
        <v>4.20303</v>
      </c>
      <c r="G60" s="27"/>
      <c r="H60" s="27"/>
      <c r="I60" s="27">
        <f>F60/C60</f>
        <v>3.6762588669541416</v>
      </c>
      <c r="J60" s="27"/>
      <c r="K60" s="28"/>
      <c r="L60" s="20">
        <f>LOG(I60, 2)</f>
        <v>1.878238358825455</v>
      </c>
      <c r="M60" s="20"/>
      <c r="N60" s="21"/>
    </row>
    <row r="61" spans="1:14" ht="15" thickBot="1" x14ac:dyDescent="0.35">
      <c r="G61"/>
      <c r="H61"/>
      <c r="I61"/>
    </row>
    <row r="62" spans="1:14" x14ac:dyDescent="0.3">
      <c r="C62" s="22" t="s">
        <v>9</v>
      </c>
      <c r="D62" s="23"/>
      <c r="E62" s="23"/>
      <c r="F62" s="24" t="s">
        <v>10</v>
      </c>
      <c r="G62" s="24"/>
      <c r="H62" s="24"/>
      <c r="I62" s="23" t="s">
        <v>8</v>
      </c>
      <c r="J62" s="23"/>
      <c r="K62" s="25"/>
      <c r="L62" s="18" t="s">
        <v>20</v>
      </c>
      <c r="M62" s="18"/>
      <c r="N62" s="19"/>
    </row>
    <row r="63" spans="1:14" ht="15" thickBot="1" x14ac:dyDescent="0.35">
      <c r="C63" s="26">
        <f>AVERAGE(D4:D54)</f>
        <v>0.1911797450980392</v>
      </c>
      <c r="D63" s="27"/>
      <c r="E63" s="27"/>
      <c r="F63" s="27">
        <f>AVERAGE(I4:I29)</f>
        <v>0.73316776923076921</v>
      </c>
      <c r="G63" s="27"/>
      <c r="H63" s="27"/>
      <c r="I63" s="27">
        <f>F63/C63</f>
        <v>3.8349657222044744</v>
      </c>
      <c r="J63" s="27"/>
      <c r="K63" s="28"/>
      <c r="L63" s="20">
        <f>LOG(I63, 2)</f>
        <v>1.9392136826495581</v>
      </c>
      <c r="M63" s="20"/>
      <c r="N63" s="21"/>
    </row>
    <row r="64" spans="1:14" x14ac:dyDescent="0.3">
      <c r="C64"/>
      <c r="D64"/>
      <c r="E64"/>
      <c r="F64"/>
      <c r="G64"/>
      <c r="H64"/>
      <c r="I64"/>
    </row>
    <row r="65" spans="3:9" x14ac:dyDescent="0.3">
      <c r="C65"/>
      <c r="D65"/>
      <c r="E65"/>
      <c r="F65"/>
      <c r="G65"/>
      <c r="H65"/>
      <c r="I65"/>
    </row>
  </sheetData>
  <mergeCells count="24">
    <mergeCell ref="L59:N59"/>
    <mergeCell ref="L60:N60"/>
    <mergeCell ref="L62:N62"/>
    <mergeCell ref="L63:N63"/>
    <mergeCell ref="C62:E62"/>
    <mergeCell ref="F62:H62"/>
    <mergeCell ref="I62:K62"/>
    <mergeCell ref="C63:E63"/>
    <mergeCell ref="F63:H63"/>
    <mergeCell ref="I63:K63"/>
    <mergeCell ref="I59:K59"/>
    <mergeCell ref="I60:K60"/>
    <mergeCell ref="C59:E59"/>
    <mergeCell ref="C60:E60"/>
    <mergeCell ref="F59:H59"/>
    <mergeCell ref="F60:H60"/>
    <mergeCell ref="A1:B2"/>
    <mergeCell ref="C1:D2"/>
    <mergeCell ref="F1:G2"/>
    <mergeCell ref="H1:I2"/>
    <mergeCell ref="H34:I36"/>
    <mergeCell ref="H33:I33"/>
    <mergeCell ref="H38:I38"/>
    <mergeCell ref="H39:I4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3E8E-E4A5-4E13-87D9-B66F685D9DCC}">
  <dimension ref="A1:Z55"/>
  <sheetViews>
    <sheetView tabSelected="1" zoomScale="58" zoomScaleNormal="145" workbookViewId="0">
      <selection activeCell="G32" sqref="G32"/>
    </sheetView>
  </sheetViews>
  <sheetFormatPr defaultRowHeight="14.4" x14ac:dyDescent="0.3"/>
  <sheetData>
    <row r="1" spans="1:9" ht="15" thickBot="1" x14ac:dyDescent="0.35">
      <c r="A1" s="2"/>
      <c r="B1" s="2"/>
      <c r="C1" s="2"/>
      <c r="D1" s="2"/>
      <c r="F1" s="2"/>
      <c r="G1" s="2"/>
      <c r="H1" s="2"/>
      <c r="I1" s="2"/>
    </row>
    <row r="2" spans="1:9" ht="15" customHeight="1" x14ac:dyDescent="0.3">
      <c r="A2" s="10" t="s">
        <v>15</v>
      </c>
      <c r="B2" s="11"/>
      <c r="C2" s="14" t="s">
        <v>16</v>
      </c>
      <c r="D2" s="15"/>
      <c r="E2" s="3"/>
      <c r="F2" s="10" t="s">
        <v>17</v>
      </c>
      <c r="G2" s="11"/>
      <c r="H2" s="14" t="s">
        <v>18</v>
      </c>
      <c r="I2" s="15"/>
    </row>
    <row r="3" spans="1:9" ht="15" thickBot="1" x14ac:dyDescent="0.35">
      <c r="A3" s="12"/>
      <c r="B3" s="13"/>
      <c r="C3" s="16"/>
      <c r="D3" s="17"/>
      <c r="E3" s="3"/>
      <c r="F3" s="12"/>
      <c r="G3" s="13"/>
      <c r="H3" s="16"/>
      <c r="I3" s="17"/>
    </row>
    <row r="4" spans="1:9" ht="16.2" thickBot="1" x14ac:dyDescent="0.35">
      <c r="A4" s="4" t="s">
        <v>0</v>
      </c>
      <c r="B4" s="5" t="s">
        <v>1</v>
      </c>
      <c r="C4" s="6" t="s">
        <v>1</v>
      </c>
      <c r="D4" s="7" t="s">
        <v>2</v>
      </c>
      <c r="F4" s="4" t="s">
        <v>0</v>
      </c>
      <c r="G4" s="5" t="s">
        <v>1</v>
      </c>
      <c r="H4" s="6" t="s">
        <v>1</v>
      </c>
      <c r="I4" s="7" t="s">
        <v>3</v>
      </c>
    </row>
    <row r="5" spans="1:9" x14ac:dyDescent="0.3">
      <c r="A5" s="97">
        <v>1</v>
      </c>
      <c r="B5" s="99">
        <v>0.84147099999999997</v>
      </c>
      <c r="C5" s="99">
        <v>0.84147099999999997</v>
      </c>
      <c r="D5" s="100">
        <v>0</v>
      </c>
      <c r="F5" s="98">
        <v>1</v>
      </c>
      <c r="G5" s="101">
        <v>0.84147099999999997</v>
      </c>
      <c r="H5" s="101">
        <v>0.84147099999999997</v>
      </c>
      <c r="I5" s="102">
        <v>0</v>
      </c>
    </row>
    <row r="6" spans="1:9" x14ac:dyDescent="0.3">
      <c r="A6" s="98">
        <v>1.1000000000000001</v>
      </c>
      <c r="B6" s="101">
        <v>0.98043599999999997</v>
      </c>
      <c r="C6" s="101">
        <v>0.98032799999999998</v>
      </c>
      <c r="D6" s="102">
        <v>1.08E-4</v>
      </c>
      <c r="F6" s="97">
        <v>1.2</v>
      </c>
      <c r="G6" s="99">
        <v>1.11938</v>
      </c>
      <c r="H6" s="99">
        <v>1.118447</v>
      </c>
      <c r="I6" s="100">
        <v>9.3300000000000002E-4</v>
      </c>
    </row>
    <row r="7" spans="1:9" x14ac:dyDescent="0.3">
      <c r="A7" s="97">
        <v>1.2</v>
      </c>
      <c r="B7" s="99">
        <v>1.1187119999999999</v>
      </c>
      <c r="C7" s="99">
        <v>1.118447</v>
      </c>
      <c r="D7" s="100">
        <v>2.6499999999999999E-4</v>
      </c>
      <c r="F7" s="98">
        <v>1.4</v>
      </c>
      <c r="G7" s="101">
        <v>1.3821829999999999</v>
      </c>
      <c r="H7" s="101">
        <v>1.3796299999999999</v>
      </c>
      <c r="I7" s="102">
        <v>2.5530000000000001E-3</v>
      </c>
    </row>
    <row r="8" spans="1:9" x14ac:dyDescent="0.3">
      <c r="A8" s="98">
        <v>1.3</v>
      </c>
      <c r="B8" s="101">
        <v>1.2530920000000001</v>
      </c>
      <c r="C8" s="101">
        <v>1.252626</v>
      </c>
      <c r="D8" s="102">
        <v>4.6700000000000002E-4</v>
      </c>
      <c r="F8" s="97">
        <v>1.6</v>
      </c>
      <c r="G8" s="99">
        <v>1.604031</v>
      </c>
      <c r="H8" s="99">
        <v>1.599318</v>
      </c>
      <c r="I8" s="100">
        <v>4.7140000000000003E-3</v>
      </c>
    </row>
    <row r="9" spans="1:9" x14ac:dyDescent="0.3">
      <c r="A9" s="97">
        <v>1.4</v>
      </c>
      <c r="B9" s="99">
        <v>1.3803380000000001</v>
      </c>
      <c r="C9" s="99">
        <v>1.3796299999999999</v>
      </c>
      <c r="D9" s="100">
        <v>7.0799999999999997E-4</v>
      </c>
      <c r="F9" s="98">
        <v>1.8</v>
      </c>
      <c r="G9" s="101">
        <v>1.760178</v>
      </c>
      <c r="H9" s="101">
        <v>1.752926</v>
      </c>
      <c r="I9" s="102">
        <v>7.2529999999999999E-3</v>
      </c>
    </row>
    <row r="10" spans="1:9" x14ac:dyDescent="0.3">
      <c r="A10" s="98">
        <v>1.5</v>
      </c>
      <c r="B10" s="101">
        <v>1.4972270000000001</v>
      </c>
      <c r="C10" s="101">
        <v>1.4962420000000001</v>
      </c>
      <c r="D10" s="102">
        <v>9.8499999999999998E-4</v>
      </c>
      <c r="F10" s="97">
        <v>2</v>
      </c>
      <c r="G10" s="99">
        <v>1.8285990000000001</v>
      </c>
      <c r="H10" s="99">
        <v>1.818595</v>
      </c>
      <c r="I10" s="100">
        <v>1.0004000000000001E-2</v>
      </c>
    </row>
    <row r="11" spans="1:9" x14ac:dyDescent="0.3">
      <c r="A11" s="97">
        <v>1.6</v>
      </c>
      <c r="B11" s="99">
        <v>1.600608</v>
      </c>
      <c r="C11" s="99">
        <v>1.599318</v>
      </c>
      <c r="D11" s="100">
        <v>1.2899999999999999E-3</v>
      </c>
      <c r="F11" s="98">
        <v>2.2000000000000002</v>
      </c>
      <c r="G11" s="101">
        <v>1.7914969999999999</v>
      </c>
      <c r="H11" s="101">
        <v>1.7786919999999999</v>
      </c>
      <c r="I11" s="102">
        <v>1.2805E-2</v>
      </c>
    </row>
    <row r="12" spans="1:9" x14ac:dyDescent="0.3">
      <c r="A12" s="98">
        <v>1.7</v>
      </c>
      <c r="B12" s="101">
        <v>1.687449</v>
      </c>
      <c r="C12" s="101">
        <v>1.6858299999999999</v>
      </c>
      <c r="D12" s="102">
        <v>1.619E-3</v>
      </c>
      <c r="F12" s="97">
        <v>2.4</v>
      </c>
      <c r="G12" s="99">
        <v>1.6366149999999999</v>
      </c>
      <c r="H12" s="99">
        <v>1.6211120000000001</v>
      </c>
      <c r="I12" s="100">
        <v>1.5502999999999999E-2</v>
      </c>
    </row>
    <row r="13" spans="1:9" x14ac:dyDescent="0.3">
      <c r="A13" s="97">
        <v>1.8</v>
      </c>
      <c r="B13" s="99">
        <v>1.7548919999999999</v>
      </c>
      <c r="C13" s="99">
        <v>1.752926</v>
      </c>
      <c r="D13" s="100">
        <v>1.9659999999999999E-3</v>
      </c>
      <c r="F13" s="98">
        <v>2.6</v>
      </c>
      <c r="G13" s="101">
        <v>1.3582700000000001</v>
      </c>
      <c r="H13" s="101">
        <v>1.3403039999999999</v>
      </c>
      <c r="I13" s="102">
        <v>1.7965999999999999E-2</v>
      </c>
    </row>
    <row r="14" spans="1:9" x14ac:dyDescent="0.3">
      <c r="A14" s="98">
        <v>1.9</v>
      </c>
      <c r="B14" s="101">
        <v>1.8002959999999999</v>
      </c>
      <c r="C14" s="101">
        <v>1.7979700000000001</v>
      </c>
      <c r="D14" s="102">
        <v>2.3259999999999999E-3</v>
      </c>
      <c r="F14" s="97">
        <v>2.8</v>
      </c>
      <c r="G14" s="99">
        <v>0.95804999999999996</v>
      </c>
      <c r="H14" s="99">
        <v>0.937967</v>
      </c>
      <c r="I14" s="100">
        <v>2.0083E-2</v>
      </c>
    </row>
    <row r="15" spans="1:9" x14ac:dyDescent="0.3">
      <c r="A15" s="97">
        <v>2</v>
      </c>
      <c r="B15" s="99">
        <v>1.8212889999999999</v>
      </c>
      <c r="C15" s="99">
        <v>1.818595</v>
      </c>
      <c r="D15" s="100">
        <v>2.6940000000000002E-3</v>
      </c>
      <c r="F15" s="98">
        <v>3</v>
      </c>
      <c r="G15" s="101">
        <v>0.44513200000000003</v>
      </c>
      <c r="H15" s="101">
        <v>0.42336000000000001</v>
      </c>
      <c r="I15" s="102">
        <v>2.1772E-2</v>
      </c>
    </row>
    <row r="16" spans="1:9" x14ac:dyDescent="0.3">
      <c r="A16" s="98">
        <v>2.1</v>
      </c>
      <c r="B16" s="101">
        <v>1.8158030000000001</v>
      </c>
      <c r="C16" s="101">
        <v>1.81274</v>
      </c>
      <c r="D16" s="102">
        <v>3.0639999999999999E-3</v>
      </c>
      <c r="F16" s="97">
        <v>3.2</v>
      </c>
      <c r="G16" s="99">
        <v>-0.16381799999999999</v>
      </c>
      <c r="H16" s="99">
        <v>-0.18679699999999999</v>
      </c>
      <c r="I16" s="100">
        <v>2.298E-2</v>
      </c>
    </row>
    <row r="17" spans="1:9" x14ac:dyDescent="0.3">
      <c r="A17" s="97">
        <v>2.2000000000000002</v>
      </c>
      <c r="B17" s="99">
        <v>1.7821229999999999</v>
      </c>
      <c r="C17" s="99">
        <v>1.7786919999999999</v>
      </c>
      <c r="D17" s="100">
        <v>3.431E-3</v>
      </c>
      <c r="F17" s="98">
        <v>3.4</v>
      </c>
      <c r="G17" s="101">
        <v>-0.84515399999999996</v>
      </c>
      <c r="H17" s="101">
        <v>-0.86883999999999995</v>
      </c>
      <c r="I17" s="102">
        <v>2.3685999999999999E-2</v>
      </c>
    </row>
    <row r="18" spans="1:9" x14ac:dyDescent="0.3">
      <c r="A18" s="98">
        <v>2.2999999999999998</v>
      </c>
      <c r="B18" s="101">
        <v>1.718912</v>
      </c>
      <c r="C18" s="101">
        <v>1.715122</v>
      </c>
      <c r="D18" s="102">
        <v>3.79E-3</v>
      </c>
      <c r="F18" s="97">
        <v>3.6</v>
      </c>
      <c r="G18" s="99">
        <v>-1.569172</v>
      </c>
      <c r="H18" s="99">
        <v>-1.5930740000000001</v>
      </c>
      <c r="I18" s="100">
        <v>2.3902E-2</v>
      </c>
    </row>
    <row r="19" spans="1:9" x14ac:dyDescent="0.3">
      <c r="A19" s="97">
        <v>2.4</v>
      </c>
      <c r="B19" s="99">
        <v>1.6252489999999999</v>
      </c>
      <c r="C19" s="99">
        <v>1.6211120000000001</v>
      </c>
      <c r="D19" s="100">
        <v>4.1380000000000002E-3</v>
      </c>
      <c r="F19" s="98">
        <v>3.8</v>
      </c>
      <c r="G19" s="101">
        <v>-2.301393</v>
      </c>
      <c r="H19" s="101">
        <v>-2.3250600000000001</v>
      </c>
      <c r="I19" s="102">
        <v>2.3667000000000001E-2</v>
      </c>
    </row>
    <row r="20" spans="1:9" x14ac:dyDescent="0.3">
      <c r="A20" s="98">
        <v>2.5</v>
      </c>
      <c r="B20" s="101">
        <v>1.50065</v>
      </c>
      <c r="C20" s="101">
        <v>1.4961800000000001</v>
      </c>
      <c r="D20" s="102">
        <v>4.4689999999999999E-3</v>
      </c>
      <c r="F20" s="97">
        <v>4</v>
      </c>
      <c r="G20" s="99">
        <v>-3.0041600000000002</v>
      </c>
      <c r="H20" s="99">
        <v>-3.0272100000000002</v>
      </c>
      <c r="I20" s="100">
        <v>2.3050000000000001E-2</v>
      </c>
    </row>
    <row r="21" spans="1:9" x14ac:dyDescent="0.3">
      <c r="A21" s="97">
        <v>2.6</v>
      </c>
      <c r="B21" s="99">
        <v>1.3450850000000001</v>
      </c>
      <c r="C21" s="99">
        <v>1.3403039999999999</v>
      </c>
      <c r="D21" s="100">
        <v>4.7809999999999997E-3</v>
      </c>
      <c r="F21" s="98">
        <v>4.2</v>
      </c>
      <c r="G21" s="101">
        <v>-3.638477</v>
      </c>
      <c r="H21" s="101">
        <v>-3.6606179999999999</v>
      </c>
      <c r="I21" s="102">
        <v>2.2141000000000001E-2</v>
      </c>
    </row>
    <row r="22" spans="1:9" x14ac:dyDescent="0.3">
      <c r="A22" s="98">
        <v>2.7</v>
      </c>
      <c r="B22" s="101">
        <v>1.1589959999999999</v>
      </c>
      <c r="C22" s="101">
        <v>1.153926</v>
      </c>
      <c r="D22" s="102">
        <v>5.0699999999999999E-3</v>
      </c>
      <c r="F22" s="97">
        <v>4.4000000000000004</v>
      </c>
      <c r="G22" s="99">
        <v>-4.1660019999999998</v>
      </c>
      <c r="H22" s="99">
        <v>-4.187049</v>
      </c>
      <c r="I22" s="100">
        <v>2.1047E-2</v>
      </c>
    </row>
    <row r="23" spans="1:9" x14ac:dyDescent="0.3">
      <c r="A23" s="97">
        <v>2.8</v>
      </c>
      <c r="B23" s="99">
        <v>0.94330000000000003</v>
      </c>
      <c r="C23" s="99">
        <v>0.937967</v>
      </c>
      <c r="D23" s="100">
        <v>5.3330000000000001E-3</v>
      </c>
      <c r="F23" s="98">
        <v>4.5999999999999996</v>
      </c>
      <c r="G23" s="101">
        <v>-4.5510919999999997</v>
      </c>
      <c r="H23" s="101">
        <v>-4.5709790000000003</v>
      </c>
      <c r="I23" s="102">
        <v>1.9886000000000001E-2</v>
      </c>
    </row>
    <row r="24" spans="1:9" ht="14.4" customHeight="1" x14ac:dyDescent="0.3">
      <c r="A24" s="98">
        <v>2.9</v>
      </c>
      <c r="B24" s="101">
        <v>0.69939200000000001</v>
      </c>
      <c r="C24" s="101">
        <v>0.69382299999999997</v>
      </c>
      <c r="D24" s="102">
        <v>5.5690000000000002E-3</v>
      </c>
      <c r="F24" s="97">
        <v>4.8</v>
      </c>
      <c r="G24" s="99">
        <v>-4.7628069999999996</v>
      </c>
      <c r="H24" s="99">
        <v>-4.7815899999999996</v>
      </c>
      <c r="I24" s="100">
        <v>1.8783000000000001E-2</v>
      </c>
    </row>
    <row r="25" spans="1:9" ht="15" customHeight="1" x14ac:dyDescent="0.3">
      <c r="A25" s="97">
        <v>3</v>
      </c>
      <c r="B25" s="99">
        <v>0.42913400000000002</v>
      </c>
      <c r="C25" s="99">
        <v>0.42336000000000001</v>
      </c>
      <c r="D25" s="100">
        <v>5.7739999999999996E-3</v>
      </c>
      <c r="F25" s="98">
        <v>5</v>
      </c>
      <c r="G25" s="101">
        <v>-4.7767609999999996</v>
      </c>
      <c r="H25" s="101">
        <v>-4.7946210000000002</v>
      </c>
      <c r="I25" s="102">
        <v>1.7860999999999998E-2</v>
      </c>
    </row>
    <row r="26" spans="1:9" ht="14.4" customHeight="1" x14ac:dyDescent="0.3">
      <c r="A26" s="98">
        <v>3.1</v>
      </c>
      <c r="B26" s="101">
        <v>0.134848</v>
      </c>
      <c r="C26" s="101">
        <v>0.12889999999999999</v>
      </c>
      <c r="D26" s="102">
        <v>5.9480000000000002E-3</v>
      </c>
      <c r="F26" s="97">
        <v>5.2</v>
      </c>
      <c r="G26" s="99">
        <v>-4.5767319999999998</v>
      </c>
      <c r="H26" s="99">
        <v>-4.5939639999999997</v>
      </c>
      <c r="I26" s="100">
        <v>1.7232000000000001E-2</v>
      </c>
    </row>
    <row r="27" spans="1:9" x14ac:dyDescent="0.3">
      <c r="A27" s="97">
        <v>3.2</v>
      </c>
      <c r="B27" s="99">
        <v>-0.18070700000000001</v>
      </c>
      <c r="C27" s="99">
        <v>-0.18679699999999999</v>
      </c>
      <c r="D27" s="100">
        <v>6.0899999999999999E-3</v>
      </c>
      <c r="F27" s="98">
        <v>5.4</v>
      </c>
      <c r="G27" s="101">
        <v>-4.1559299999999997</v>
      </c>
      <c r="H27" s="101">
        <v>-4.1729279999999997</v>
      </c>
      <c r="I27" s="102">
        <v>1.6999E-2</v>
      </c>
    </row>
    <row r="28" spans="1:9" x14ac:dyDescent="0.3">
      <c r="A28" s="98">
        <v>3.3</v>
      </c>
      <c r="B28" s="101">
        <v>-0.51436099999999996</v>
      </c>
      <c r="C28" s="101">
        <v>-0.52056100000000005</v>
      </c>
      <c r="D28" s="102">
        <v>6.1999999999999998E-3</v>
      </c>
      <c r="F28" s="97">
        <v>5.6</v>
      </c>
      <c r="G28" s="99">
        <v>-3.5178530000000001</v>
      </c>
      <c r="H28" s="99">
        <v>-3.5350929999999998</v>
      </c>
      <c r="I28" s="100">
        <v>1.7239999999999998E-2</v>
      </c>
    </row>
    <row r="29" spans="1:9" ht="14.4" customHeight="1" x14ac:dyDescent="0.3">
      <c r="A29" s="97">
        <v>3.4</v>
      </c>
      <c r="B29" s="99">
        <v>-0.86256299999999997</v>
      </c>
      <c r="C29" s="99">
        <v>-0.86883999999999995</v>
      </c>
      <c r="D29" s="100">
        <v>6.2769999999999996E-3</v>
      </c>
      <c r="F29" s="98">
        <v>5.8</v>
      </c>
      <c r="G29" s="101">
        <v>-2.676679</v>
      </c>
      <c r="H29" s="101">
        <v>-2.694693</v>
      </c>
      <c r="I29" s="102">
        <v>1.8013999999999999E-2</v>
      </c>
    </row>
    <row r="30" spans="1:9" ht="15" customHeight="1" x14ac:dyDescent="0.3">
      <c r="A30" s="98">
        <v>3.5</v>
      </c>
      <c r="B30" s="101">
        <v>-1.2214179999999999</v>
      </c>
      <c r="C30" s="101">
        <v>-1.227741</v>
      </c>
      <c r="D30" s="102">
        <v>6.3229999999999996E-3</v>
      </c>
      <c r="F30" s="97">
        <v>6</v>
      </c>
      <c r="G30" s="99">
        <v>-1.657143</v>
      </c>
      <c r="H30" s="99">
        <v>-1.676493</v>
      </c>
      <c r="I30" s="100">
        <v>1.9349999999999999E-2</v>
      </c>
    </row>
    <row r="31" spans="1:9" ht="15.75" customHeight="1" x14ac:dyDescent="0.3">
      <c r="A31" s="97">
        <v>3.6</v>
      </c>
      <c r="B31" s="99">
        <v>-1.586735</v>
      </c>
      <c r="C31" s="99">
        <v>-1.5930740000000001</v>
      </c>
      <c r="D31" s="100">
        <v>6.3379999999999999E-3</v>
      </c>
    </row>
    <row r="32" spans="1:9" ht="15.75" customHeight="1" x14ac:dyDescent="0.3">
      <c r="A32" s="98">
        <v>3.7</v>
      </c>
      <c r="B32" s="101">
        <v>-1.9540690000000001</v>
      </c>
      <c r="C32" s="101">
        <v>-1.960394</v>
      </c>
      <c r="D32" s="102">
        <v>6.3249999999999999E-3</v>
      </c>
    </row>
    <row r="33" spans="1:26" x14ac:dyDescent="0.3">
      <c r="A33" s="97">
        <v>3.8</v>
      </c>
      <c r="B33" s="99">
        <v>-2.318775</v>
      </c>
      <c r="C33" s="99">
        <v>-2.3250600000000001</v>
      </c>
      <c r="D33" s="100">
        <v>6.2849999999999998E-3</v>
      </c>
      <c r="F33" s="87"/>
      <c r="G33" s="87"/>
      <c r="H33" s="87"/>
      <c r="I33" s="87"/>
    </row>
    <row r="34" spans="1:26" x14ac:dyDescent="0.3">
      <c r="A34" s="98">
        <v>3.9</v>
      </c>
      <c r="B34" s="101">
        <v>-2.6760679999999999</v>
      </c>
      <c r="C34" s="101">
        <v>-2.6822879999999998</v>
      </c>
      <c r="D34" s="102">
        <v>6.221E-3</v>
      </c>
    </row>
    <row r="35" spans="1:26" x14ac:dyDescent="0.3">
      <c r="A35" s="97">
        <v>4</v>
      </c>
      <c r="B35" s="99">
        <v>-3.0210759999999999</v>
      </c>
      <c r="C35" s="99">
        <v>-3.0272100000000002</v>
      </c>
      <c r="D35" s="100">
        <v>6.1339999999999997E-3</v>
      </c>
    </row>
    <row r="36" spans="1:26" ht="15.75" customHeight="1" x14ac:dyDescent="0.3">
      <c r="A36" s="98">
        <v>4.0999999999999996</v>
      </c>
      <c r="B36" s="101">
        <v>-3.3489059999999999</v>
      </c>
      <c r="C36" s="101">
        <v>-3.3549359999999999</v>
      </c>
      <c r="D36" s="102">
        <v>6.0299999999999998E-3</v>
      </c>
    </row>
    <row r="37" spans="1:26" ht="15.75" customHeight="1" x14ac:dyDescent="0.3">
      <c r="A37" s="97">
        <v>4.2</v>
      </c>
      <c r="B37" s="99">
        <v>-3.6547079999999998</v>
      </c>
      <c r="C37" s="99">
        <v>-3.6606179999999999</v>
      </c>
      <c r="D37" s="100">
        <v>5.9100000000000003E-3</v>
      </c>
    </row>
    <row r="38" spans="1:26" x14ac:dyDescent="0.3">
      <c r="A38" s="98">
        <v>4.3</v>
      </c>
      <c r="B38" s="101">
        <v>-3.933735</v>
      </c>
      <c r="C38" s="101">
        <v>-3.939514</v>
      </c>
      <c r="D38" s="102">
        <v>5.7790000000000003E-3</v>
      </c>
    </row>
    <row r="39" spans="1:26" ht="15" thickBot="1" x14ac:dyDescent="0.35">
      <c r="A39" s="97">
        <v>4.4000000000000004</v>
      </c>
      <c r="B39" s="99">
        <v>-4.1814090000000004</v>
      </c>
      <c r="C39" s="99">
        <v>-4.187049</v>
      </c>
      <c r="D39" s="100">
        <v>5.64E-3</v>
      </c>
    </row>
    <row r="40" spans="1:26" x14ac:dyDescent="0.3">
      <c r="A40" s="98">
        <v>4.5</v>
      </c>
      <c r="B40" s="101">
        <v>-4.3933879999999998</v>
      </c>
      <c r="C40" s="101">
        <v>-4.3988860000000001</v>
      </c>
      <c r="D40" s="102">
        <v>5.4970000000000001E-3</v>
      </c>
      <c r="O40" s="35" t="s">
        <v>11</v>
      </c>
      <c r="P40" s="33"/>
      <c r="Q40" s="36"/>
      <c r="R40" s="29" t="s">
        <v>12</v>
      </c>
      <c r="S40" s="30"/>
      <c r="T40" s="31"/>
      <c r="U40" s="32" t="s">
        <v>8</v>
      </c>
      <c r="V40" s="33"/>
      <c r="W40" s="34"/>
      <c r="X40" s="18" t="s">
        <v>20</v>
      </c>
      <c r="Y40" s="18"/>
      <c r="Z40" s="19"/>
    </row>
    <row r="41" spans="1:26" ht="15" thickBot="1" x14ac:dyDescent="0.35">
      <c r="A41" s="97">
        <v>4.5999999999999996</v>
      </c>
      <c r="B41" s="99">
        <v>-4.5656239999999997</v>
      </c>
      <c r="C41" s="99">
        <v>-4.5709790000000003</v>
      </c>
      <c r="D41" s="100">
        <v>5.3540000000000003E-3</v>
      </c>
      <c r="O41" s="37">
        <f>MAX(D5:D37)</f>
        <v>6.3379999999999999E-3</v>
      </c>
      <c r="P41" s="38"/>
      <c r="Q41" s="39"/>
      <c r="R41" s="40">
        <f>MAX(I5:I21)</f>
        <v>2.3902E-2</v>
      </c>
      <c r="S41" s="38"/>
      <c r="T41" s="39"/>
      <c r="U41" s="40">
        <f>R41/O41</f>
        <v>3.7712212054275795</v>
      </c>
      <c r="V41" s="38"/>
      <c r="W41" s="41"/>
      <c r="X41" s="20">
        <f>LOG(U41, 2)</f>
        <v>1.9150317759406412</v>
      </c>
      <c r="Y41" s="20"/>
      <c r="Z41" s="21"/>
    </row>
    <row r="42" spans="1:26" ht="15" thickBot="1" x14ac:dyDescent="0.35">
      <c r="A42" s="98">
        <v>4.7</v>
      </c>
      <c r="B42" s="101">
        <v>-4.6944239999999997</v>
      </c>
      <c r="C42" s="101">
        <v>-4.6996390000000003</v>
      </c>
      <c r="D42" s="102">
        <v>5.215E-3</v>
      </c>
      <c r="O42" s="2"/>
      <c r="P42" s="2"/>
      <c r="Q42" s="2"/>
      <c r="R42" s="2"/>
    </row>
    <row r="43" spans="1:26" ht="23.4" x14ac:dyDescent="0.3">
      <c r="A43" s="97">
        <v>4.8</v>
      </c>
      <c r="B43" s="99">
        <v>-4.7765050000000002</v>
      </c>
      <c r="C43" s="99">
        <v>-4.7815899999999996</v>
      </c>
      <c r="D43" s="100">
        <v>5.0850000000000001E-3</v>
      </c>
      <c r="F43" s="82" t="s">
        <v>4</v>
      </c>
      <c r="G43" s="83"/>
      <c r="H43" s="82"/>
      <c r="I43" s="83"/>
      <c r="O43" s="35" t="s">
        <v>13</v>
      </c>
      <c r="P43" s="33"/>
      <c r="Q43" s="36"/>
      <c r="R43" s="29" t="s">
        <v>14</v>
      </c>
      <c r="S43" s="30"/>
      <c r="T43" s="31"/>
      <c r="U43" s="32" t="s">
        <v>8</v>
      </c>
      <c r="V43" s="33"/>
      <c r="W43" s="34"/>
      <c r="X43" s="18" t="s">
        <v>20</v>
      </c>
      <c r="Y43" s="18"/>
      <c r="Z43" s="19"/>
    </row>
    <row r="44" spans="1:26" ht="24" thickBot="1" x14ac:dyDescent="0.35">
      <c r="A44" s="98">
        <v>4.9000000000000004</v>
      </c>
      <c r="B44" s="101">
        <v>-4.8090520000000003</v>
      </c>
      <c r="C44" s="101">
        <v>-4.8140179999999999</v>
      </c>
      <c r="D44" s="102">
        <v>4.9659999999999999E-3</v>
      </c>
      <c r="F44" s="84"/>
      <c r="G44" s="85"/>
      <c r="H44" s="84"/>
      <c r="I44" s="85"/>
      <c r="O44" s="26">
        <f>AVERAGE(D5:D37)</f>
        <v>3.9978181818181814E-3</v>
      </c>
      <c r="P44" s="27"/>
      <c r="Q44" s="27"/>
      <c r="R44" s="40">
        <f>AVERAGE(I5:I21)</f>
        <v>1.4883058823529412E-2</v>
      </c>
      <c r="S44" s="38"/>
      <c r="T44" s="39"/>
      <c r="U44" s="27">
        <f>R44/O44</f>
        <v>3.7227953215122693</v>
      </c>
      <c r="V44" s="27"/>
      <c r="W44" s="28"/>
      <c r="X44" s="20">
        <f>LOG(U44, 2)</f>
        <v>1.8963862993061249</v>
      </c>
      <c r="Y44" s="20"/>
      <c r="Z44" s="21"/>
    </row>
    <row r="45" spans="1:26" x14ac:dyDescent="0.3">
      <c r="A45" s="97">
        <v>5</v>
      </c>
      <c r="B45" s="99">
        <v>-4.7897590000000001</v>
      </c>
      <c r="C45" s="99">
        <v>-4.7946210000000002</v>
      </c>
      <c r="D45" s="100">
        <v>4.862E-3</v>
      </c>
      <c r="F45" s="88" t="s">
        <v>25</v>
      </c>
      <c r="G45" s="103"/>
      <c r="H45" s="103"/>
      <c r="I45" s="104"/>
    </row>
    <row r="46" spans="1:26" x14ac:dyDescent="0.3">
      <c r="A46" s="98">
        <v>5.0999999999999996</v>
      </c>
      <c r="B46" s="101">
        <v>-4.7168770000000002</v>
      </c>
      <c r="C46" s="101">
        <v>-4.7216550000000002</v>
      </c>
      <c r="D46" s="102">
        <v>4.7780000000000001E-3</v>
      </c>
      <c r="F46" s="105"/>
      <c r="G46" s="86"/>
      <c r="H46" s="86"/>
      <c r="I46" s="106"/>
    </row>
    <row r="47" spans="1:26" x14ac:dyDescent="0.3">
      <c r="A47" s="97">
        <v>5.2</v>
      </c>
      <c r="B47" s="99">
        <v>-4.5892480000000004</v>
      </c>
      <c r="C47" s="99">
        <v>-4.5939639999999997</v>
      </c>
      <c r="D47" s="100">
        <v>4.7159999999999997E-3</v>
      </c>
      <c r="F47" s="107"/>
      <c r="G47" s="108"/>
      <c r="H47" s="108"/>
      <c r="I47" s="109"/>
    </row>
    <row r="48" spans="1:26" x14ac:dyDescent="0.3">
      <c r="A48" s="98">
        <v>5.3</v>
      </c>
      <c r="B48" s="101">
        <v>-4.4063379999999999</v>
      </c>
      <c r="C48" s="101">
        <v>-4.4110170000000002</v>
      </c>
      <c r="D48" s="102">
        <v>4.6800000000000001E-3</v>
      </c>
      <c r="F48" s="95" t="s">
        <v>5</v>
      </c>
      <c r="G48" s="95"/>
      <c r="H48" s="95"/>
      <c r="I48" s="95"/>
    </row>
    <row r="49" spans="1:9" x14ac:dyDescent="0.3">
      <c r="A49" s="97">
        <v>5.4</v>
      </c>
      <c r="B49" s="99">
        <v>-4.1682569999999997</v>
      </c>
      <c r="C49" s="99">
        <v>-4.1729279999999997</v>
      </c>
      <c r="D49" s="100">
        <v>4.6719999999999999E-3</v>
      </c>
      <c r="F49" s="96"/>
      <c r="G49" s="96"/>
      <c r="H49" s="96"/>
      <c r="I49" s="96"/>
    </row>
    <row r="50" spans="1:9" x14ac:dyDescent="0.3">
      <c r="A50" s="98">
        <v>5.5</v>
      </c>
      <c r="B50" s="101">
        <v>-3.8757779999999999</v>
      </c>
      <c r="C50" s="101">
        <v>-3.8804720000000001</v>
      </c>
      <c r="D50" s="102">
        <v>4.6940000000000003E-3</v>
      </c>
      <c r="F50" s="94" t="s">
        <v>26</v>
      </c>
      <c r="G50" s="89"/>
      <c r="H50" s="89"/>
      <c r="I50" s="90"/>
    </row>
    <row r="51" spans="1:9" x14ac:dyDescent="0.3">
      <c r="A51" s="97">
        <v>5.6</v>
      </c>
      <c r="B51" s="99">
        <v>-3.5303439999999999</v>
      </c>
      <c r="C51" s="99">
        <v>-3.5350929999999998</v>
      </c>
      <c r="D51" s="100">
        <v>4.7489999999999997E-3</v>
      </c>
      <c r="F51" s="91"/>
      <c r="G51" s="92"/>
      <c r="H51" s="92"/>
      <c r="I51" s="93"/>
    </row>
    <row r="52" spans="1:9" x14ac:dyDescent="0.3">
      <c r="A52" s="98">
        <v>5.7</v>
      </c>
      <c r="B52" s="101">
        <v>-3.1340699999999999</v>
      </c>
      <c r="C52" s="101">
        <v>-3.1389079999999998</v>
      </c>
      <c r="D52" s="102">
        <v>4.8380000000000003E-3</v>
      </c>
    </row>
    <row r="53" spans="1:9" x14ac:dyDescent="0.3">
      <c r="A53" s="97">
        <v>5.8</v>
      </c>
      <c r="B53" s="99">
        <v>-2.6897310000000001</v>
      </c>
      <c r="C53" s="99">
        <v>-2.694693</v>
      </c>
      <c r="D53" s="100">
        <v>4.9620000000000003E-3</v>
      </c>
    </row>
    <row r="54" spans="1:9" x14ac:dyDescent="0.3">
      <c r="A54" s="98">
        <v>5.9</v>
      </c>
      <c r="B54" s="101">
        <v>-2.2007500000000002</v>
      </c>
      <c r="C54" s="101">
        <v>-2.2058719999999998</v>
      </c>
      <c r="D54" s="102">
        <v>5.1219999999999998E-3</v>
      </c>
    </row>
    <row r="55" spans="1:9" x14ac:dyDescent="0.3">
      <c r="A55" s="97">
        <v>6</v>
      </c>
      <c r="B55" s="99">
        <v>-1.6711739999999999</v>
      </c>
      <c r="C55" s="99">
        <v>-1.676493</v>
      </c>
      <c r="D55" s="100">
        <v>5.3189999999999999E-3</v>
      </c>
    </row>
  </sheetData>
  <mergeCells count="23">
    <mergeCell ref="X40:Z40"/>
    <mergeCell ref="X41:Z41"/>
    <mergeCell ref="X43:Z43"/>
    <mergeCell ref="X44:Z44"/>
    <mergeCell ref="U43:W43"/>
    <mergeCell ref="O41:Q41"/>
    <mergeCell ref="R41:T41"/>
    <mergeCell ref="U41:W41"/>
    <mergeCell ref="O44:Q44"/>
    <mergeCell ref="R44:T44"/>
    <mergeCell ref="U44:W44"/>
    <mergeCell ref="O43:Q43"/>
    <mergeCell ref="R43:T43"/>
    <mergeCell ref="A2:B3"/>
    <mergeCell ref="C2:D3"/>
    <mergeCell ref="F2:G3"/>
    <mergeCell ref="H2:I3"/>
    <mergeCell ref="O40:Q40"/>
    <mergeCell ref="R40:T40"/>
    <mergeCell ref="U40:W40"/>
    <mergeCell ref="F45:I47"/>
    <mergeCell ref="F48:I49"/>
    <mergeCell ref="F50:I5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F1EA72-09E1-4DC4-BF2A-B4AD3CF865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63</vt:lpstr>
      <vt:lpstr>141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Даша Р</dc:creator>
  <cp:keywords/>
  <dc:description/>
  <cp:lastModifiedBy>Даша 05</cp:lastModifiedBy>
  <cp:revision/>
  <dcterms:created xsi:type="dcterms:W3CDTF">2015-06-05T18:19:34Z</dcterms:created>
  <dcterms:modified xsi:type="dcterms:W3CDTF">2026-04-30T04:16:33Z</dcterms:modified>
  <cp:category/>
  <cp:contentStatus/>
</cp:coreProperties>
</file>