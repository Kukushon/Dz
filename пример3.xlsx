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2983\Downloads\Telegram Desktop\"/>
    </mc:Choice>
  </mc:AlternateContent>
  <xr:revisionPtr revIDLastSave="0" documentId="13_ncr:1_{8727828A-7719-404B-A912-23470C4E6A6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847" sheetId="1" r:id="rId1"/>
    <sheet name="80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6" i="1" l="1"/>
  <c r="Y26" i="1" s="1"/>
  <c r="Q26" i="1"/>
  <c r="D5" i="1" l="1"/>
  <c r="M12" i="1"/>
  <c r="L12" i="1"/>
  <c r="Q24" i="2"/>
  <c r="P24" i="2"/>
  <c r="L6" i="1"/>
  <c r="AB39" i="2"/>
  <c r="E5" i="2"/>
  <c r="E4" i="2"/>
  <c r="H4" i="2" s="1"/>
  <c r="P5" i="2" l="1"/>
  <c r="S5" i="2" s="1"/>
  <c r="Q5" i="2"/>
  <c r="T5" i="2" s="1"/>
  <c r="R5" i="2"/>
  <c r="U5" i="2" s="1"/>
  <c r="P6" i="2"/>
  <c r="S6" i="2" s="1"/>
  <c r="Q6" i="2"/>
  <c r="T6" i="2" s="1"/>
  <c r="R6" i="2"/>
  <c r="U6" i="2" s="1"/>
  <c r="P7" i="2"/>
  <c r="S7" i="2" s="1"/>
  <c r="Q7" i="2"/>
  <c r="T7" i="2" s="1"/>
  <c r="R7" i="2"/>
  <c r="U7" i="2" s="1"/>
  <c r="P8" i="2"/>
  <c r="S8" i="2" s="1"/>
  <c r="Q8" i="2"/>
  <c r="T8" i="2" s="1"/>
  <c r="R8" i="2"/>
  <c r="U8" i="2" s="1"/>
  <c r="P9" i="2"/>
  <c r="S9" i="2" s="1"/>
  <c r="Q9" i="2"/>
  <c r="T9" i="2" s="1"/>
  <c r="R9" i="2"/>
  <c r="U9" i="2" s="1"/>
  <c r="P10" i="2"/>
  <c r="S10" i="2" s="1"/>
  <c r="Q10" i="2"/>
  <c r="T10" i="2" s="1"/>
  <c r="R10" i="2"/>
  <c r="U10" i="2" s="1"/>
  <c r="P11" i="2"/>
  <c r="S11" i="2" s="1"/>
  <c r="Q11" i="2"/>
  <c r="T11" i="2" s="1"/>
  <c r="R11" i="2"/>
  <c r="U11" i="2" s="1"/>
  <c r="P12" i="2"/>
  <c r="S12" i="2" s="1"/>
  <c r="Q12" i="2"/>
  <c r="T12" i="2" s="1"/>
  <c r="R12" i="2"/>
  <c r="U12" i="2" s="1"/>
  <c r="P13" i="2"/>
  <c r="S13" i="2" s="1"/>
  <c r="Q13" i="2"/>
  <c r="T13" i="2" s="1"/>
  <c r="R13" i="2"/>
  <c r="U13" i="2" s="1"/>
  <c r="P14" i="2"/>
  <c r="S14" i="2" s="1"/>
  <c r="Q14" i="2"/>
  <c r="T14" i="2" s="1"/>
  <c r="R14" i="2"/>
  <c r="U14" i="2" s="1"/>
  <c r="P15" i="2"/>
  <c r="S15" i="2" s="1"/>
  <c r="Q15" i="2"/>
  <c r="T15" i="2" s="1"/>
  <c r="R15" i="2"/>
  <c r="U15" i="2" s="1"/>
  <c r="P16" i="2"/>
  <c r="S16" i="2" s="1"/>
  <c r="Q16" i="2"/>
  <c r="T16" i="2" s="1"/>
  <c r="R16" i="2"/>
  <c r="U16" i="2" s="1"/>
  <c r="P17" i="2"/>
  <c r="S17" i="2" s="1"/>
  <c r="Q17" i="2"/>
  <c r="T17" i="2" s="1"/>
  <c r="R17" i="2"/>
  <c r="U17" i="2" s="1"/>
  <c r="P18" i="2"/>
  <c r="S18" i="2" s="1"/>
  <c r="Q18" i="2"/>
  <c r="T18" i="2" s="1"/>
  <c r="R18" i="2"/>
  <c r="U18" i="2" s="1"/>
  <c r="P19" i="2"/>
  <c r="S19" i="2" s="1"/>
  <c r="Q19" i="2"/>
  <c r="T19" i="2" s="1"/>
  <c r="R19" i="2"/>
  <c r="U19" i="2" s="1"/>
  <c r="P20" i="2"/>
  <c r="S20" i="2" s="1"/>
  <c r="Q20" i="2"/>
  <c r="T20" i="2" s="1"/>
  <c r="R20" i="2"/>
  <c r="U20" i="2" s="1"/>
  <c r="P21" i="2"/>
  <c r="S21" i="2" s="1"/>
  <c r="Q21" i="2"/>
  <c r="T21" i="2" s="1"/>
  <c r="R21" i="2"/>
  <c r="U21" i="2" s="1"/>
  <c r="P22" i="2"/>
  <c r="S22" i="2" s="1"/>
  <c r="Q22" i="2"/>
  <c r="T22" i="2" s="1"/>
  <c r="R22" i="2"/>
  <c r="U22" i="2" s="1"/>
  <c r="P23" i="2"/>
  <c r="S23" i="2" s="1"/>
  <c r="Q23" i="2"/>
  <c r="T23" i="2" s="1"/>
  <c r="R23" i="2"/>
  <c r="U23" i="2" s="1"/>
  <c r="S24" i="2"/>
  <c r="T24" i="2"/>
  <c r="R24" i="2"/>
  <c r="U24" i="2" s="1"/>
  <c r="P25" i="2"/>
  <c r="S25" i="2" s="1"/>
  <c r="Q25" i="2"/>
  <c r="T25" i="2" s="1"/>
  <c r="R25" i="2"/>
  <c r="U25" i="2" s="1"/>
  <c r="P26" i="2"/>
  <c r="S26" i="2" s="1"/>
  <c r="Q26" i="2"/>
  <c r="T26" i="2" s="1"/>
  <c r="R26" i="2"/>
  <c r="U26" i="2" s="1"/>
  <c r="P27" i="2"/>
  <c r="S27" i="2" s="1"/>
  <c r="Q27" i="2"/>
  <c r="T27" i="2" s="1"/>
  <c r="R27" i="2"/>
  <c r="U27" i="2" s="1"/>
  <c r="P28" i="2"/>
  <c r="S28" i="2" s="1"/>
  <c r="Q28" i="2"/>
  <c r="T28" i="2" s="1"/>
  <c r="R28" i="2"/>
  <c r="U28" i="2" s="1"/>
  <c r="P29" i="2"/>
  <c r="S29" i="2" s="1"/>
  <c r="Q29" i="2"/>
  <c r="T29" i="2" s="1"/>
  <c r="R29" i="2"/>
  <c r="U29" i="2" s="1"/>
  <c r="P30" i="2"/>
  <c r="S30" i="2" s="1"/>
  <c r="Q30" i="2"/>
  <c r="T30" i="2" s="1"/>
  <c r="R30" i="2"/>
  <c r="U30" i="2" s="1"/>
  <c r="P31" i="2"/>
  <c r="S31" i="2" s="1"/>
  <c r="Q31" i="2"/>
  <c r="T31" i="2" s="1"/>
  <c r="R31" i="2"/>
  <c r="U31" i="2" s="1"/>
  <c r="P32" i="2"/>
  <c r="S32" i="2" s="1"/>
  <c r="Q32" i="2"/>
  <c r="T32" i="2" s="1"/>
  <c r="R32" i="2"/>
  <c r="U32" i="2" s="1"/>
  <c r="P33" i="2"/>
  <c r="S33" i="2" s="1"/>
  <c r="Q33" i="2"/>
  <c r="T33" i="2" s="1"/>
  <c r="R33" i="2"/>
  <c r="U33" i="2" s="1"/>
  <c r="P34" i="2"/>
  <c r="S34" i="2" s="1"/>
  <c r="Q34" i="2"/>
  <c r="T34" i="2" s="1"/>
  <c r="R34" i="2"/>
  <c r="U34" i="2" s="1"/>
  <c r="R4" i="2"/>
  <c r="U4" i="2" s="1"/>
  <c r="Q4" i="2"/>
  <c r="T4" i="2" s="1"/>
  <c r="P4" i="2"/>
  <c r="S4" i="2" s="1"/>
  <c r="H5" i="2"/>
  <c r="F5" i="2"/>
  <c r="I5" i="2" s="1"/>
  <c r="G5" i="2"/>
  <c r="J5" i="2" s="1"/>
  <c r="E6" i="2"/>
  <c r="H6" i="2" s="1"/>
  <c r="F6" i="2"/>
  <c r="I6" i="2" s="1"/>
  <c r="G6" i="2"/>
  <c r="J6" i="2" s="1"/>
  <c r="E7" i="2"/>
  <c r="H7" i="2" s="1"/>
  <c r="F7" i="2"/>
  <c r="I7" i="2" s="1"/>
  <c r="G7" i="2"/>
  <c r="J7" i="2" s="1"/>
  <c r="E8" i="2"/>
  <c r="H8" i="2" s="1"/>
  <c r="F8" i="2"/>
  <c r="I8" i="2" s="1"/>
  <c r="G8" i="2"/>
  <c r="J8" i="2" s="1"/>
  <c r="E9" i="2"/>
  <c r="H9" i="2" s="1"/>
  <c r="F9" i="2"/>
  <c r="I9" i="2" s="1"/>
  <c r="G9" i="2"/>
  <c r="J9" i="2" s="1"/>
  <c r="E10" i="2"/>
  <c r="H10" i="2" s="1"/>
  <c r="F10" i="2"/>
  <c r="I10" i="2" s="1"/>
  <c r="G10" i="2"/>
  <c r="J10" i="2" s="1"/>
  <c r="E11" i="2"/>
  <c r="H11" i="2" s="1"/>
  <c r="F11" i="2"/>
  <c r="I11" i="2" s="1"/>
  <c r="G11" i="2"/>
  <c r="J11" i="2" s="1"/>
  <c r="E12" i="2"/>
  <c r="H12" i="2" s="1"/>
  <c r="F12" i="2"/>
  <c r="I12" i="2" s="1"/>
  <c r="G12" i="2"/>
  <c r="J12" i="2" s="1"/>
  <c r="E13" i="2"/>
  <c r="H13" i="2" s="1"/>
  <c r="F13" i="2"/>
  <c r="I13" i="2" s="1"/>
  <c r="G13" i="2"/>
  <c r="J13" i="2" s="1"/>
  <c r="E14" i="2"/>
  <c r="H14" i="2" s="1"/>
  <c r="F14" i="2"/>
  <c r="I14" i="2" s="1"/>
  <c r="G14" i="2"/>
  <c r="J14" i="2" s="1"/>
  <c r="E15" i="2"/>
  <c r="H15" i="2" s="1"/>
  <c r="F15" i="2"/>
  <c r="I15" i="2" s="1"/>
  <c r="G15" i="2"/>
  <c r="J15" i="2" s="1"/>
  <c r="E16" i="2"/>
  <c r="H16" i="2" s="1"/>
  <c r="F16" i="2"/>
  <c r="I16" i="2" s="1"/>
  <c r="G16" i="2"/>
  <c r="J16" i="2" s="1"/>
  <c r="E17" i="2"/>
  <c r="H17" i="2" s="1"/>
  <c r="F17" i="2"/>
  <c r="I17" i="2" s="1"/>
  <c r="G17" i="2"/>
  <c r="J17" i="2" s="1"/>
  <c r="E18" i="2"/>
  <c r="H18" i="2" s="1"/>
  <c r="F18" i="2"/>
  <c r="I18" i="2" s="1"/>
  <c r="G18" i="2"/>
  <c r="J18" i="2" s="1"/>
  <c r="E19" i="2"/>
  <c r="H19" i="2" s="1"/>
  <c r="F19" i="2"/>
  <c r="I19" i="2" s="1"/>
  <c r="G19" i="2"/>
  <c r="J19" i="2" s="1"/>
  <c r="E20" i="2"/>
  <c r="H20" i="2" s="1"/>
  <c r="F20" i="2"/>
  <c r="I20" i="2" s="1"/>
  <c r="G20" i="2"/>
  <c r="J20" i="2" s="1"/>
  <c r="E21" i="2"/>
  <c r="H21" i="2" s="1"/>
  <c r="F21" i="2"/>
  <c r="I21" i="2" s="1"/>
  <c r="G21" i="2"/>
  <c r="J21" i="2" s="1"/>
  <c r="E22" i="2"/>
  <c r="H22" i="2" s="1"/>
  <c r="F22" i="2"/>
  <c r="I22" i="2" s="1"/>
  <c r="G22" i="2"/>
  <c r="J22" i="2" s="1"/>
  <c r="E23" i="2"/>
  <c r="H23" i="2" s="1"/>
  <c r="F23" i="2"/>
  <c r="I23" i="2" s="1"/>
  <c r="G23" i="2"/>
  <c r="J23" i="2" s="1"/>
  <c r="E24" i="2"/>
  <c r="H24" i="2" s="1"/>
  <c r="F24" i="2"/>
  <c r="I24" i="2" s="1"/>
  <c r="G24" i="2"/>
  <c r="J24" i="2" s="1"/>
  <c r="E25" i="2"/>
  <c r="H25" i="2" s="1"/>
  <c r="F25" i="2"/>
  <c r="I25" i="2" s="1"/>
  <c r="G25" i="2"/>
  <c r="J25" i="2" s="1"/>
  <c r="E26" i="2"/>
  <c r="H26" i="2" s="1"/>
  <c r="F26" i="2"/>
  <c r="I26" i="2" s="1"/>
  <c r="G26" i="2"/>
  <c r="J26" i="2" s="1"/>
  <c r="E27" i="2"/>
  <c r="H27" i="2" s="1"/>
  <c r="F27" i="2"/>
  <c r="I27" i="2" s="1"/>
  <c r="G27" i="2"/>
  <c r="J27" i="2" s="1"/>
  <c r="E28" i="2"/>
  <c r="H28" i="2" s="1"/>
  <c r="F28" i="2"/>
  <c r="I28" i="2" s="1"/>
  <c r="G28" i="2"/>
  <c r="J28" i="2" s="1"/>
  <c r="E29" i="2"/>
  <c r="H29" i="2" s="1"/>
  <c r="F29" i="2"/>
  <c r="I29" i="2" s="1"/>
  <c r="G29" i="2"/>
  <c r="J29" i="2" s="1"/>
  <c r="E30" i="2"/>
  <c r="H30" i="2" s="1"/>
  <c r="F30" i="2"/>
  <c r="I30" i="2" s="1"/>
  <c r="G30" i="2"/>
  <c r="J30" i="2" s="1"/>
  <c r="E31" i="2"/>
  <c r="H31" i="2" s="1"/>
  <c r="F31" i="2"/>
  <c r="I31" i="2" s="1"/>
  <c r="G31" i="2"/>
  <c r="J31" i="2" s="1"/>
  <c r="E32" i="2"/>
  <c r="H32" i="2" s="1"/>
  <c r="F32" i="2"/>
  <c r="I32" i="2" s="1"/>
  <c r="G32" i="2"/>
  <c r="J32" i="2" s="1"/>
  <c r="E33" i="2"/>
  <c r="H33" i="2" s="1"/>
  <c r="F33" i="2"/>
  <c r="I33" i="2" s="1"/>
  <c r="G33" i="2"/>
  <c r="J33" i="2" s="1"/>
  <c r="E34" i="2"/>
  <c r="H34" i="2" s="1"/>
  <c r="F34" i="2"/>
  <c r="I34" i="2" s="1"/>
  <c r="G34" i="2"/>
  <c r="J34" i="2" s="1"/>
  <c r="E35" i="2"/>
  <c r="H35" i="2" s="1"/>
  <c r="F35" i="2"/>
  <c r="I35" i="2" s="1"/>
  <c r="G35" i="2"/>
  <c r="J35" i="2" s="1"/>
  <c r="E36" i="2"/>
  <c r="H36" i="2" s="1"/>
  <c r="F36" i="2"/>
  <c r="I36" i="2" s="1"/>
  <c r="G36" i="2"/>
  <c r="J36" i="2" s="1"/>
  <c r="E37" i="2"/>
  <c r="H37" i="2" s="1"/>
  <c r="F37" i="2"/>
  <c r="I37" i="2" s="1"/>
  <c r="G37" i="2"/>
  <c r="J37" i="2" s="1"/>
  <c r="E38" i="2"/>
  <c r="H38" i="2" s="1"/>
  <c r="F38" i="2"/>
  <c r="I38" i="2" s="1"/>
  <c r="G38" i="2"/>
  <c r="J38" i="2" s="1"/>
  <c r="E39" i="2"/>
  <c r="H39" i="2" s="1"/>
  <c r="F39" i="2"/>
  <c r="I39" i="2" s="1"/>
  <c r="G39" i="2"/>
  <c r="J39" i="2" s="1"/>
  <c r="E40" i="2"/>
  <c r="H40" i="2" s="1"/>
  <c r="F40" i="2"/>
  <c r="I40" i="2" s="1"/>
  <c r="G40" i="2"/>
  <c r="J40" i="2" s="1"/>
  <c r="E41" i="2"/>
  <c r="H41" i="2" s="1"/>
  <c r="F41" i="2"/>
  <c r="I41" i="2" s="1"/>
  <c r="G41" i="2"/>
  <c r="J41" i="2" s="1"/>
  <c r="E42" i="2"/>
  <c r="H42" i="2" s="1"/>
  <c r="F42" i="2"/>
  <c r="I42" i="2" s="1"/>
  <c r="G42" i="2"/>
  <c r="J42" i="2" s="1"/>
  <c r="E43" i="2"/>
  <c r="H43" i="2" s="1"/>
  <c r="F43" i="2"/>
  <c r="I43" i="2" s="1"/>
  <c r="G43" i="2"/>
  <c r="J43" i="2" s="1"/>
  <c r="E44" i="2"/>
  <c r="H44" i="2" s="1"/>
  <c r="F44" i="2"/>
  <c r="I44" i="2" s="1"/>
  <c r="G44" i="2"/>
  <c r="J44" i="2" s="1"/>
  <c r="E45" i="2"/>
  <c r="H45" i="2" s="1"/>
  <c r="F45" i="2"/>
  <c r="I45" i="2" s="1"/>
  <c r="G45" i="2"/>
  <c r="J45" i="2" s="1"/>
  <c r="E46" i="2"/>
  <c r="H46" i="2" s="1"/>
  <c r="F46" i="2"/>
  <c r="I46" i="2" s="1"/>
  <c r="G46" i="2"/>
  <c r="J46" i="2" s="1"/>
  <c r="E47" i="2"/>
  <c r="H47" i="2" s="1"/>
  <c r="F47" i="2"/>
  <c r="I47" i="2" s="1"/>
  <c r="G47" i="2"/>
  <c r="J47" i="2" s="1"/>
  <c r="E48" i="2"/>
  <c r="H48" i="2" s="1"/>
  <c r="F48" i="2"/>
  <c r="I48" i="2" s="1"/>
  <c r="G48" i="2"/>
  <c r="J48" i="2" s="1"/>
  <c r="E49" i="2"/>
  <c r="H49" i="2" s="1"/>
  <c r="F49" i="2"/>
  <c r="I49" i="2" s="1"/>
  <c r="G49" i="2"/>
  <c r="J49" i="2" s="1"/>
  <c r="E50" i="2"/>
  <c r="H50" i="2" s="1"/>
  <c r="F50" i="2"/>
  <c r="I50" i="2" s="1"/>
  <c r="G50" i="2"/>
  <c r="J50" i="2" s="1"/>
  <c r="E51" i="2"/>
  <c r="H51" i="2" s="1"/>
  <c r="F51" i="2"/>
  <c r="I51" i="2" s="1"/>
  <c r="G51" i="2"/>
  <c r="J51" i="2" s="1"/>
  <c r="E52" i="2"/>
  <c r="H52" i="2" s="1"/>
  <c r="F52" i="2"/>
  <c r="I52" i="2" s="1"/>
  <c r="G52" i="2"/>
  <c r="J52" i="2" s="1"/>
  <c r="E53" i="2"/>
  <c r="H53" i="2" s="1"/>
  <c r="F53" i="2"/>
  <c r="I53" i="2" s="1"/>
  <c r="G53" i="2"/>
  <c r="J53" i="2" s="1"/>
  <c r="E54" i="2"/>
  <c r="H54" i="2" s="1"/>
  <c r="F54" i="2"/>
  <c r="I54" i="2" s="1"/>
  <c r="G54" i="2"/>
  <c r="J54" i="2" s="1"/>
  <c r="E55" i="2"/>
  <c r="H55" i="2" s="1"/>
  <c r="F55" i="2"/>
  <c r="I55" i="2" s="1"/>
  <c r="G55" i="2"/>
  <c r="J55" i="2" s="1"/>
  <c r="E56" i="2"/>
  <c r="H56" i="2" s="1"/>
  <c r="F56" i="2"/>
  <c r="I56" i="2" s="1"/>
  <c r="G56" i="2"/>
  <c r="J56" i="2" s="1"/>
  <c r="E57" i="2"/>
  <c r="H57" i="2" s="1"/>
  <c r="F57" i="2"/>
  <c r="I57" i="2" s="1"/>
  <c r="G57" i="2"/>
  <c r="J57" i="2" s="1"/>
  <c r="E58" i="2"/>
  <c r="H58" i="2" s="1"/>
  <c r="F58" i="2"/>
  <c r="I58" i="2" s="1"/>
  <c r="G58" i="2"/>
  <c r="J58" i="2" s="1"/>
  <c r="E59" i="2"/>
  <c r="H59" i="2" s="1"/>
  <c r="F59" i="2"/>
  <c r="I59" i="2" s="1"/>
  <c r="G59" i="2"/>
  <c r="J59" i="2" s="1"/>
  <c r="E60" i="2"/>
  <c r="H60" i="2" s="1"/>
  <c r="F60" i="2"/>
  <c r="I60" i="2" s="1"/>
  <c r="G60" i="2"/>
  <c r="J60" i="2" s="1"/>
  <c r="E61" i="2"/>
  <c r="H61" i="2" s="1"/>
  <c r="F61" i="2"/>
  <c r="I61" i="2" s="1"/>
  <c r="G61" i="2"/>
  <c r="J61" i="2" s="1"/>
  <c r="E62" i="2"/>
  <c r="H62" i="2" s="1"/>
  <c r="F62" i="2"/>
  <c r="I62" i="2" s="1"/>
  <c r="G62" i="2"/>
  <c r="J62" i="2" s="1"/>
  <c r="E63" i="2"/>
  <c r="H63" i="2" s="1"/>
  <c r="F63" i="2"/>
  <c r="I63" i="2" s="1"/>
  <c r="G63" i="2"/>
  <c r="J63" i="2" s="1"/>
  <c r="E64" i="2"/>
  <c r="H64" i="2" s="1"/>
  <c r="F64" i="2"/>
  <c r="I64" i="2" s="1"/>
  <c r="G64" i="2"/>
  <c r="J64" i="2" s="1"/>
  <c r="G4" i="2"/>
  <c r="J4" i="2" s="1"/>
  <c r="F4" i="2"/>
  <c r="I4" i="2" s="1"/>
  <c r="N6" i="1"/>
  <c r="M6" i="1"/>
  <c r="O6" i="1" s="1"/>
  <c r="L7" i="1"/>
  <c r="N7" i="1" s="1"/>
  <c r="M7" i="1"/>
  <c r="O7" i="1" s="1"/>
  <c r="L8" i="1"/>
  <c r="N8" i="1" s="1"/>
  <c r="M8" i="1"/>
  <c r="O8" i="1" s="1"/>
  <c r="L9" i="1"/>
  <c r="N9" i="1" s="1"/>
  <c r="M9" i="1"/>
  <c r="O9" i="1" s="1"/>
  <c r="L10" i="1"/>
  <c r="N10" i="1" s="1"/>
  <c r="M10" i="1"/>
  <c r="O10" i="1" s="1"/>
  <c r="L11" i="1"/>
  <c r="M11" i="1"/>
  <c r="O11" i="1" s="1"/>
  <c r="N12" i="1"/>
  <c r="O12" i="1"/>
  <c r="L13" i="1"/>
  <c r="N13" i="1" s="1"/>
  <c r="M13" i="1"/>
  <c r="O13" i="1" s="1"/>
  <c r="L14" i="1"/>
  <c r="N14" i="1" s="1"/>
  <c r="M14" i="1"/>
  <c r="O14" i="1" s="1"/>
  <c r="L15" i="1"/>
  <c r="N15" i="1" s="1"/>
  <c r="M15" i="1"/>
  <c r="O15" i="1" s="1"/>
  <c r="L16" i="1"/>
  <c r="N16" i="1" s="1"/>
  <c r="M16" i="1"/>
  <c r="O16" i="1" s="1"/>
  <c r="L17" i="1"/>
  <c r="M17" i="1"/>
  <c r="O17" i="1" s="1"/>
  <c r="L18" i="1"/>
  <c r="N18" i="1" s="1"/>
  <c r="M18" i="1"/>
  <c r="O18" i="1" s="1"/>
  <c r="L19" i="1"/>
  <c r="N19" i="1" s="1"/>
  <c r="M19" i="1"/>
  <c r="O19" i="1" s="1"/>
  <c r="L20" i="1"/>
  <c r="N20" i="1" s="1"/>
  <c r="M20" i="1"/>
  <c r="O20" i="1" s="1"/>
  <c r="M5" i="1"/>
  <c r="O5" i="1" s="1"/>
  <c r="L5" i="1"/>
  <c r="N5" i="1" s="1"/>
  <c r="D6" i="1"/>
  <c r="F6" i="1" s="1"/>
  <c r="E6" i="1"/>
  <c r="G6" i="1" s="1"/>
  <c r="D7" i="1"/>
  <c r="F7" i="1" s="1"/>
  <c r="E7" i="1"/>
  <c r="D8" i="1"/>
  <c r="F8" i="1" s="1"/>
  <c r="E8" i="1"/>
  <c r="G8" i="1" s="1"/>
  <c r="D9" i="1"/>
  <c r="F9" i="1" s="1"/>
  <c r="E9" i="1"/>
  <c r="G9" i="1" s="1"/>
  <c r="D10" i="1"/>
  <c r="F10" i="1" s="1"/>
  <c r="E10" i="1"/>
  <c r="G10" i="1" s="1"/>
  <c r="D11" i="1"/>
  <c r="F11" i="1" s="1"/>
  <c r="E11" i="1"/>
  <c r="G11" i="1" s="1"/>
  <c r="D12" i="1"/>
  <c r="F12" i="1" s="1"/>
  <c r="E12" i="1"/>
  <c r="G12" i="1" s="1"/>
  <c r="D13" i="1"/>
  <c r="F13" i="1" s="1"/>
  <c r="E13" i="1"/>
  <c r="G13" i="1" s="1"/>
  <c r="D14" i="1"/>
  <c r="F14" i="1" s="1"/>
  <c r="E14" i="1"/>
  <c r="G14" i="1" s="1"/>
  <c r="D15" i="1"/>
  <c r="F15" i="1" s="1"/>
  <c r="E15" i="1"/>
  <c r="G15" i="1" s="1"/>
  <c r="D16" i="1"/>
  <c r="F16" i="1" s="1"/>
  <c r="E16" i="1"/>
  <c r="G16" i="1" s="1"/>
  <c r="D17" i="1"/>
  <c r="F17" i="1" s="1"/>
  <c r="E17" i="1"/>
  <c r="G17" i="1" s="1"/>
  <c r="D18" i="1"/>
  <c r="F18" i="1" s="1"/>
  <c r="E18" i="1"/>
  <c r="G18" i="1" s="1"/>
  <c r="D19" i="1"/>
  <c r="F19" i="1" s="1"/>
  <c r="E19" i="1"/>
  <c r="G19" i="1" s="1"/>
  <c r="D20" i="1"/>
  <c r="F20" i="1" s="1"/>
  <c r="E20" i="1"/>
  <c r="G20" i="1" s="1"/>
  <c r="D21" i="1"/>
  <c r="F21" i="1" s="1"/>
  <c r="E21" i="1"/>
  <c r="G21" i="1" s="1"/>
  <c r="D22" i="1"/>
  <c r="F22" i="1" s="1"/>
  <c r="E22" i="1"/>
  <c r="G22" i="1" s="1"/>
  <c r="D23" i="1"/>
  <c r="F23" i="1" s="1"/>
  <c r="E23" i="1"/>
  <c r="G23" i="1" s="1"/>
  <c r="D24" i="1"/>
  <c r="F24" i="1" s="1"/>
  <c r="E24" i="1"/>
  <c r="G24" i="1" s="1"/>
  <c r="D25" i="1"/>
  <c r="E25" i="1"/>
  <c r="G25" i="1" s="1"/>
  <c r="D26" i="1"/>
  <c r="F26" i="1" s="1"/>
  <c r="E26" i="1"/>
  <c r="G26" i="1" s="1"/>
  <c r="D27" i="1"/>
  <c r="F27" i="1" s="1"/>
  <c r="E27" i="1"/>
  <c r="G27" i="1" s="1"/>
  <c r="D28" i="1"/>
  <c r="F28" i="1" s="1"/>
  <c r="E28" i="1"/>
  <c r="G28" i="1" s="1"/>
  <c r="D29" i="1"/>
  <c r="F29" i="1" s="1"/>
  <c r="E29" i="1"/>
  <c r="G29" i="1" s="1"/>
  <c r="D30" i="1"/>
  <c r="F30" i="1" s="1"/>
  <c r="E30" i="1"/>
  <c r="G30" i="1" s="1"/>
  <c r="D31" i="1"/>
  <c r="F31" i="1" s="1"/>
  <c r="E31" i="1"/>
  <c r="G31" i="1" s="1"/>
  <c r="D32" i="1"/>
  <c r="F32" i="1" s="1"/>
  <c r="E32" i="1"/>
  <c r="G32" i="1" s="1"/>
  <c r="D33" i="1"/>
  <c r="F33" i="1" s="1"/>
  <c r="E33" i="1"/>
  <c r="G33" i="1" s="1"/>
  <c r="D34" i="1"/>
  <c r="F34" i="1" s="1"/>
  <c r="E34" i="1"/>
  <c r="G34" i="1" s="1"/>
  <c r="D35" i="1"/>
  <c r="F35" i="1" s="1"/>
  <c r="E35" i="1"/>
  <c r="G35" i="1" s="1"/>
  <c r="E5" i="1"/>
  <c r="F5" i="1"/>
  <c r="F25" i="1"/>
  <c r="N11" i="1"/>
  <c r="N17" i="1"/>
  <c r="G7" i="1"/>
  <c r="U26" i="1" l="1"/>
  <c r="S59" i="1"/>
  <c r="W59" i="1"/>
  <c r="AB84" i="2"/>
  <c r="AF84" i="2"/>
  <c r="AD132" i="2"/>
  <c r="AH132" i="2"/>
  <c r="AH84" i="2"/>
  <c r="AH39" i="2"/>
  <c r="AL39" i="2" s="1"/>
  <c r="AB132" i="2"/>
  <c r="AF132" i="2"/>
  <c r="AF39" i="2"/>
  <c r="AD84" i="2"/>
  <c r="AD39" i="2"/>
  <c r="AJ39" i="2" s="1"/>
  <c r="W26" i="1"/>
  <c r="G5" i="1"/>
  <c r="AJ84" i="2" l="1"/>
  <c r="AL84" i="2"/>
  <c r="AA26" i="1"/>
  <c r="Q59" i="1"/>
  <c r="Y59" i="1" s="1"/>
  <c r="U59" i="1"/>
  <c r="AA59" i="1" s="1"/>
  <c r="AL132" i="2"/>
  <c r="AJ13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BBE988-0B85-4DE9-8275-F17316399687}" keepAlive="1" name="Запрос — output" description="Соединение с запросом &quot;output&quot; в книге." type="5" refreshedVersion="0" background="1">
    <dbPr connection="Provider=Microsoft.Mashup.OleDb.1;Data Source=$Workbook$;Location=output;Extended Properties=&quot;&quot;" command="SELECT * FROM [output]"/>
  </connection>
  <connection id="2" xr16:uid="{A859639B-BAD2-4E6F-BDEF-D164FB67C834}" keepAlive="1" name="Запрос — output (2)" description="Соединение с запросом &quot;output (2)&quot; в книге." type="5" refreshedVersion="0" background="1">
    <dbPr connection="Provider=Microsoft.Mashup.OleDb.1;Data Source=$Workbook$;Location=&quot;output (2)&quot;;Extended Properties=&quot;&quot;" command="SELECT * FROM [output (2)]"/>
  </connection>
  <connection id="3" xr16:uid="{63518BCD-10DA-4783-BB98-A6795B05F199}" keepAlive="1" name="Запрос — output (3)" description="Соединение с запросом &quot;output (3)&quot; в книге." type="5" refreshedVersion="0" background="1">
    <dbPr connection="Provider=Microsoft.Mashup.OleDb.1;Data Source=$Workbook$;Location=&quot;output (3)&quot;;Extended Properties=&quot;&quot;" command="SELECT * FROM [output (3)]"/>
  </connection>
</connections>
</file>

<file path=xl/sharedStrings.xml><?xml version="1.0" encoding="utf-8"?>
<sst xmlns="http://schemas.openxmlformats.org/spreadsheetml/2006/main" count="95" uniqueCount="43">
  <si>
    <t>x</t>
  </si>
  <si>
    <t>y1</t>
  </si>
  <si>
    <t>y2</t>
  </si>
  <si>
    <t>y1 точное</t>
  </si>
  <si>
    <t>y2 точное</t>
  </si>
  <si>
    <t>delta1</t>
  </si>
  <si>
    <t>delta2</t>
  </si>
  <si>
    <t>По формуле точного решения</t>
  </si>
  <si>
    <t>Исходные узлы</t>
  </si>
  <si>
    <t>Погрешности вычислений</t>
  </si>
  <si>
    <t>delta3</t>
  </si>
  <si>
    <t>y3 точное</t>
  </si>
  <si>
    <t>y3</t>
  </si>
  <si>
    <t>С1</t>
  </si>
  <si>
    <t>С2</t>
  </si>
  <si>
    <t>С3</t>
  </si>
  <si>
    <t>C1</t>
  </si>
  <si>
    <t>C2</t>
  </si>
  <si>
    <t>max delta1 (h=0.1)</t>
  </si>
  <si>
    <t>max delta1 (h=0.2)</t>
  </si>
  <si>
    <t>Отношение погрешностей</t>
  </si>
  <si>
    <t>max delta/ max delta</t>
  </si>
  <si>
    <t>max delta2 (h=0.1)</t>
  </si>
  <si>
    <t>max delta2 (h=0.2)</t>
  </si>
  <si>
    <t>Исходное уравнение:</t>
  </si>
  <si>
    <t>Точное решение:</t>
  </si>
  <si>
    <t>Программа (числ. выч-ние)                                                    (h = 0.1 )</t>
  </si>
  <si>
    <t>Программа (числ. выч-ние)                                                    (h = 0.05 )</t>
  </si>
  <si>
    <t>Программа (числ. выч-ние)                      (h = 0.1 )</t>
  </si>
  <si>
    <t>Программа (числ. выч-ние)                      (h = 0.2 )</t>
  </si>
  <si>
    <t>max delta1 (h=0.05)</t>
  </si>
  <si>
    <t>max delta2 (h=0.05)</t>
  </si>
  <si>
    <t>max delta3 (h=0.05)</t>
  </si>
  <si>
    <t>avg delta1 (h=0.1)</t>
  </si>
  <si>
    <t>avg delta1 (h=0.2)</t>
  </si>
  <si>
    <t>avg delta2 (h=0.1)</t>
  </si>
  <si>
    <t>avg delta2 (h=0.2)</t>
  </si>
  <si>
    <t>avg delta/ avg delta</t>
  </si>
  <si>
    <t>avg delta1 (h=0.05)</t>
  </si>
  <si>
    <t>avg delta2 (h=0.05)</t>
  </si>
  <si>
    <t>avg delta3 (h=0.05)</t>
  </si>
  <si>
    <t>avg delta3 (h=0.1)</t>
  </si>
  <si>
    <t>x' = 2x - y -z
y' = 3x - 2y -3z
z' = 2z - x +y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</si>
</sst>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Font="1" applyFill="1" applyBorder="1"/>
    <xf numFmtId="0" fontId="0" fillId="0" borderId="25" xfId="0" applyFont="1" applyFill="1" applyBorder="1"/>
    <xf numFmtId="0" fontId="0" fillId="0" borderId="33" xfId="0" applyFont="1" applyFill="1" applyBorder="1"/>
    <xf numFmtId="0" fontId="0" fillId="0" borderId="32" xfId="0" applyFont="1" applyFill="1" applyBorder="1"/>
    <xf numFmtId="0" fontId="0" fillId="0" borderId="34" xfId="0" applyFont="1" applyFill="1" applyBorder="1"/>
    <xf numFmtId="0" fontId="0" fillId="0" borderId="35" xfId="0" applyFont="1" applyFill="1" applyBorder="1"/>
    <xf numFmtId="0" fontId="0" fillId="0" borderId="36" xfId="0" applyFont="1" applyFill="1" applyBorder="1"/>
    <xf numFmtId="0" fontId="0" fillId="0" borderId="37" xfId="0" applyFont="1" applyFill="1" applyBorder="1"/>
    <xf numFmtId="0" fontId="0" fillId="0" borderId="38" xfId="0" applyFont="1" applyFill="1" applyBorder="1"/>
    <xf numFmtId="0" fontId="0" fillId="0" borderId="39" xfId="0" applyFont="1" applyFill="1" applyBorder="1"/>
    <xf numFmtId="0" fontId="0" fillId="0" borderId="40" xfId="0" applyFont="1" applyFill="1" applyBorder="1"/>
    <xf numFmtId="0" fontId="0" fillId="0" borderId="41" xfId="0" applyFont="1" applyFill="1" applyBorder="1"/>
    <xf numFmtId="0" fontId="2" fillId="0" borderId="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  <xf numFmtId="0" fontId="6" fillId="4" borderId="0" xfId="0" applyFont="1" applyFill="1" applyBorder="1" applyAlignment="1">
      <alignment horizontal="left"/>
    </xf>
    <xf numFmtId="0" fontId="0" fillId="0" borderId="3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top"/>
    </xf>
    <xf numFmtId="0" fontId="6" fillId="6" borderId="38" xfId="0" applyFont="1" applyFill="1" applyBorder="1" applyAlignment="1">
      <alignment horizontal="center" vertical="top"/>
    </xf>
    <xf numFmtId="0" fontId="6" fillId="6" borderId="39" xfId="0" applyFont="1" applyFill="1" applyBorder="1" applyAlignment="1">
      <alignment horizontal="center" vertical="top"/>
    </xf>
    <xf numFmtId="0" fontId="6" fillId="6" borderId="37" xfId="0" applyFont="1" applyFill="1" applyBorder="1" applyAlignment="1">
      <alignment horizontal="center" vertical="top"/>
    </xf>
    <xf numFmtId="0" fontId="6" fillId="6" borderId="41" xfId="0" applyFont="1" applyFill="1" applyBorder="1" applyAlignment="1">
      <alignment horizontal="center" vertical="top"/>
    </xf>
    <xf numFmtId="0" fontId="6" fillId="6" borderId="33" xfId="0" applyFont="1" applyFill="1" applyBorder="1" applyAlignment="1">
      <alignment horizontal="center" vertical="top"/>
    </xf>
    <xf numFmtId="0" fontId="6" fillId="3" borderId="35" xfId="0" applyFont="1" applyFill="1" applyBorder="1" applyAlignment="1">
      <alignment horizontal="left"/>
    </xf>
    <xf numFmtId="0" fontId="5" fillId="3" borderId="38" xfId="0" applyFont="1" applyFill="1" applyBorder="1" applyAlignment="1">
      <alignment horizontal="left"/>
    </xf>
    <xf numFmtId="0" fontId="5" fillId="3" borderId="39" xfId="0" applyFont="1" applyFill="1" applyBorder="1" applyAlignment="1">
      <alignment horizontal="left"/>
    </xf>
    <xf numFmtId="0" fontId="5" fillId="3" borderId="37" xfId="0" applyFont="1" applyFill="1" applyBorder="1" applyAlignment="1">
      <alignment horizontal="left"/>
    </xf>
    <xf numFmtId="0" fontId="5" fillId="3" borderId="41" xfId="0" applyFont="1" applyFill="1" applyBorder="1" applyAlignment="1">
      <alignment horizontal="left"/>
    </xf>
    <xf numFmtId="0" fontId="5" fillId="3" borderId="33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Графическое</a:t>
            </a:r>
            <a:r>
              <a:rPr lang="ru-RU" baseline="0"/>
              <a:t> изображение </a:t>
            </a:r>
            <a:r>
              <a:rPr lang="en-US" baseline="0"/>
              <a:t>y1</a:t>
            </a:r>
            <a:r>
              <a:rPr lang="ru-RU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y1 (h=0.1)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'847'!$A$5:$A$35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'847'!$B$5:$B$35</c:f>
              <c:numCache>
                <c:formatCode>General</c:formatCode>
                <c:ptCount val="31"/>
                <c:pt idx="0">
                  <c:v>3.87765</c:v>
                </c:pt>
                <c:pt idx="1">
                  <c:v>4.7004450000000002</c:v>
                </c:pt>
                <c:pt idx="2">
                  <c:v>5.7148950000000003</c:v>
                </c:pt>
                <c:pt idx="3">
                  <c:v>6.9671089999999998</c:v>
                </c:pt>
                <c:pt idx="4">
                  <c:v>8.5141360000000006</c:v>
                </c:pt>
                <c:pt idx="5">
                  <c:v>10.42648</c:v>
                </c:pt>
                <c:pt idx="6">
                  <c:v>12.791168000000001</c:v>
                </c:pt>
                <c:pt idx="7">
                  <c:v>15.715507000000001</c:v>
                </c:pt>
                <c:pt idx="8">
                  <c:v>19.331693999999999</c:v>
                </c:pt>
                <c:pt idx="9">
                  <c:v>23.802444999999999</c:v>
                </c:pt>
                <c:pt idx="10">
                  <c:v>29.327902999999999</c:v>
                </c:pt>
                <c:pt idx="11">
                  <c:v>36.15408</c:v>
                </c:pt>
                <c:pt idx="12">
                  <c:v>44.583185999999998</c:v>
                </c:pt>
                <c:pt idx="13">
                  <c:v>54.986277000000001</c:v>
                </c:pt>
                <c:pt idx="14">
                  <c:v>67.818709999999996</c:v>
                </c:pt>
                <c:pt idx="15">
                  <c:v>83.639047000000005</c:v>
                </c:pt>
                <c:pt idx="16">
                  <c:v>103.132166</c:v>
                </c:pt>
                <c:pt idx="17">
                  <c:v>127.137505</c:v>
                </c:pt>
                <c:pt idx="18">
                  <c:v>156.683584</c:v>
                </c:pt>
                <c:pt idx="19">
                  <c:v>193.03018399999999</c:v>
                </c:pt>
                <c:pt idx="20">
                  <c:v>237.71988200000001</c:v>
                </c:pt>
                <c:pt idx="21">
                  <c:v>292.641007</c:v>
                </c:pt>
                <c:pt idx="22">
                  <c:v>360.10453699999999</c:v>
                </c:pt>
                <c:pt idx="23">
                  <c:v>442.938019</c:v>
                </c:pt>
                <c:pt idx="24">
                  <c:v>544.60027500000001</c:v>
                </c:pt>
                <c:pt idx="25">
                  <c:v>669.321459</c:v>
                </c:pt>
                <c:pt idx="26">
                  <c:v>822.27409499999999</c:v>
                </c:pt>
                <c:pt idx="27">
                  <c:v>1009.78189</c:v>
                </c:pt>
                <c:pt idx="28">
                  <c:v>1239.5746810000001</c:v>
                </c:pt>
                <c:pt idx="29">
                  <c:v>1521.099678</c:v>
                </c:pt>
                <c:pt idx="30">
                  <c:v>1865.901406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46-4382-B2F8-A730EF2371C5}"/>
            </c:ext>
          </c:extLst>
        </c:ser>
        <c:ser>
          <c:idx val="1"/>
          <c:order val="1"/>
          <c:tx>
            <c:v>y1 (h=0.2)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'847'!$I$5:$I$20</c:f>
              <c:numCache>
                <c:formatCode>General</c:formatCode>
                <c:ptCount val="1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'847'!$J$5:$J$20</c:f>
              <c:numCache>
                <c:formatCode>General</c:formatCode>
                <c:ptCount val="16"/>
                <c:pt idx="0">
                  <c:v>3.87765</c:v>
                </c:pt>
                <c:pt idx="1">
                  <c:v>5.6791410000000004</c:v>
                </c:pt>
                <c:pt idx="2">
                  <c:v>8.4054420000000007</c:v>
                </c:pt>
                <c:pt idx="3">
                  <c:v>12.544171</c:v>
                </c:pt>
                <c:pt idx="4">
                  <c:v>18.834235</c:v>
                </c:pt>
                <c:pt idx="5">
                  <c:v>28.390975000000001</c:v>
                </c:pt>
                <c:pt idx="6">
                  <c:v>42.892718000000002</c:v>
                </c:pt>
                <c:pt idx="7">
                  <c:v>64.858680000000007</c:v>
                </c:pt>
                <c:pt idx="8">
                  <c:v>98.062589000000003</c:v>
                </c:pt>
                <c:pt idx="9">
                  <c:v>148.147718</c:v>
                </c:pt>
                <c:pt idx="10">
                  <c:v>223.54073500000001</c:v>
                </c:pt>
                <c:pt idx="11">
                  <c:v>336.80870099999999</c:v>
                </c:pt>
                <c:pt idx="12">
                  <c:v>506.67306100000002</c:v>
                </c:pt>
                <c:pt idx="13">
                  <c:v>760.99743799999999</c:v>
                </c:pt>
                <c:pt idx="14">
                  <c:v>1141.218464</c:v>
                </c:pt>
                <c:pt idx="15">
                  <c:v>1708.9146029999999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46-4382-B2F8-A730EF2371C5}"/>
            </c:ext>
          </c:extLst>
        </c:ser>
        <c:ser>
          <c:idx val="2"/>
          <c:order val="2"/>
          <c:tx>
            <c:v>у1 точн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'847'!$A$5:$A$35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'847'!$D$5:$D$35</c:f>
              <c:numCache>
                <c:formatCode>General</c:formatCode>
                <c:ptCount val="31"/>
                <c:pt idx="0">
                  <c:v>3.8776491462349512</c:v>
                </c:pt>
                <c:pt idx="1">
                  <c:v>4.7064087495586584</c:v>
                </c:pt>
                <c:pt idx="2">
                  <c:v>5.7296410638859534</c:v>
                </c:pt>
                <c:pt idx="3">
                  <c:v>6.9944275841590962</c:v>
                </c:pt>
                <c:pt idx="4">
                  <c:v>8.5590859882113719</c:v>
                </c:pt>
                <c:pt idx="5">
                  <c:v>10.495760718892928</c:v>
                </c:pt>
                <c:pt idx="6">
                  <c:v>12.893597977410824</c:v>
                </c:pt>
                <c:pt idx="7">
                  <c:v>15.86263747157501</c:v>
                </c:pt>
                <c:pt idx="8">
                  <c:v>19.538582838594429</c:v>
                </c:pt>
                <c:pt idx="9">
                  <c:v>24.088648642880788</c:v>
                </c:pt>
                <c:pt idx="10">
                  <c:v>29.718725722543425</c:v>
                </c:pt>
                <c:pt idx="11">
                  <c:v>36.682160243423887</c:v>
                </c:pt>
                <c:pt idx="12">
                  <c:v>45.290507324062247</c:v>
                </c:pt>
                <c:pt idx="13">
                  <c:v>55.926700193500352</c:v>
                </c:pt>
                <c:pt idx="14">
                  <c:v>69.061173783420998</c:v>
                </c:pt>
                <c:pt idx="15">
                  <c:v>85.271601389388124</c:v>
                </c:pt>
                <c:pt idx="16">
                  <c:v>105.26704938391737</c:v>
                </c:pt>
                <c:pt idx="17">
                  <c:v>129.91753381379203</c:v>
                </c:pt>
                <c:pt idx="18">
                  <c:v>160.29018125772535</c:v>
                </c:pt>
                <c:pt idx="19">
                  <c:v>197.6934633461855</c:v>
                </c:pt>
                <c:pt idx="20">
                  <c:v>243.73130059041651</c:v>
                </c:pt>
                <c:pt idx="21">
                  <c:v>300.36922975068524</c:v>
                </c:pt>
                <c:pt idx="22">
                  <c:v>370.01531592037747</c:v>
                </c:pt>
                <c:pt idx="23">
                  <c:v>455.61908538940571</c:v>
                </c:pt>
                <c:pt idx="24">
                  <c:v>560.79248209086757</c:v>
                </c:pt>
                <c:pt idx="25">
                  <c:v>689.95773823910395</c:v>
                </c:pt>
                <c:pt idx="26">
                  <c:v>848.52813431482264</c:v>
                </c:pt>
                <c:pt idx="27">
                  <c:v>1043.1289484251283</c:v>
                </c:pt>
                <c:pt idx="28">
                  <c:v>1281.8675134960918</c:v>
                </c:pt>
                <c:pt idx="29">
                  <c:v>1574.6632777644331</c:v>
                </c:pt>
                <c:pt idx="30">
                  <c:v>1933.6511790435056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246-4382-B2F8-A730EF237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286288"/>
        <c:axId val="717285968"/>
      </c:scatterChart>
      <c:valAx>
        <c:axId val="71728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7285968"/>
        <c:crosses val="autoZero"/>
        <c:crossBetween val="midCat"/>
      </c:valAx>
      <c:valAx>
        <c:axId val="717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7286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Графическое изображение</a:t>
            </a:r>
            <a:r>
              <a:rPr lang="en-US"/>
              <a:t> y2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у2 (h=0.1)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'847'!$A$5:$A$35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'847'!$C$5:$C$35</c:f>
              <c:numCache>
                <c:formatCode>General</c:formatCode>
                <c:ptCount val="31"/>
                <c:pt idx="0">
                  <c:v>5.6630500000000001</c:v>
                </c:pt>
                <c:pt idx="1">
                  <c:v>6.9388230000000002</c:v>
                </c:pt>
                <c:pt idx="2">
                  <c:v>8.5185329999999997</c:v>
                </c:pt>
                <c:pt idx="3">
                  <c:v>10.474785000000001</c:v>
                </c:pt>
                <c:pt idx="4">
                  <c:v>12.897036</c:v>
                </c:pt>
                <c:pt idx="5">
                  <c:v>15.895410999999999</c:v>
                </c:pt>
                <c:pt idx="6">
                  <c:v>19.605356</c:v>
                </c:pt>
                <c:pt idx="7">
                  <c:v>24.193349999999999</c:v>
                </c:pt>
                <c:pt idx="8">
                  <c:v>29.863896</c:v>
                </c:pt>
                <c:pt idx="9">
                  <c:v>36.868074</c:v>
                </c:pt>
                <c:pt idx="10">
                  <c:v>45.514006999999999</c:v>
                </c:pt>
                <c:pt idx="11">
                  <c:v>56.179656999999999</c:v>
                </c:pt>
                <c:pt idx="12">
                  <c:v>69.328475999999995</c:v>
                </c:pt>
                <c:pt idx="13">
                  <c:v>85.528527999999994</c:v>
                </c:pt>
                <c:pt idx="14">
                  <c:v>105.475864</c:v>
                </c:pt>
                <c:pt idx="15">
                  <c:v>130.02307999999999</c:v>
                </c:pt>
                <c:pt idx="16">
                  <c:v>160.214215</c:v>
                </c:pt>
                <c:pt idx="17">
                  <c:v>197.327371</c:v>
                </c:pt>
                <c:pt idx="18">
                  <c:v>242.926785</c:v>
                </c:pt>
                <c:pt idx="19">
                  <c:v>298.92641400000002</c:v>
                </c:pt>
                <c:pt idx="20">
                  <c:v>367.66760199999999</c:v>
                </c:pt>
                <c:pt idx="21">
                  <c:v>452.013914</c:v>
                </c:pt>
                <c:pt idx="22">
                  <c:v>555.46693100000005</c:v>
                </c:pt>
                <c:pt idx="23">
                  <c:v>682.30764599999998</c:v>
                </c:pt>
                <c:pt idx="24">
                  <c:v>837.76907400000005</c:v>
                </c:pt>
                <c:pt idx="25">
                  <c:v>1028.2469960000001</c:v>
                </c:pt>
                <c:pt idx="26">
                  <c:v>1261.5572090000001</c:v>
                </c:pt>
                <c:pt idx="27">
                  <c:v>1547.2495610000001</c:v>
                </c:pt>
                <c:pt idx="28">
                  <c:v>1896.9912650000001</c:v>
                </c:pt>
                <c:pt idx="29">
                  <c:v>2325.0347630000001</c:v>
                </c:pt>
                <c:pt idx="30">
                  <c:v>2848.788779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54-4DE2-BB17-379D8A031130}"/>
            </c:ext>
          </c:extLst>
        </c:ser>
        <c:ser>
          <c:idx val="1"/>
          <c:order val="1"/>
          <c:tx>
            <c:v>y2 (h=0.2)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'847'!$I$5:$I$20</c:f>
              <c:numCache>
                <c:formatCode>General</c:formatCode>
                <c:ptCount val="1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'847'!$K$5:$K$20</c:f>
              <c:numCache>
                <c:formatCode>General</c:formatCode>
                <c:ptCount val="16"/>
                <c:pt idx="0">
                  <c:v>5.6630500000000001</c:v>
                </c:pt>
                <c:pt idx="1">
                  <c:v>8.4630650000000003</c:v>
                </c:pt>
                <c:pt idx="2">
                  <c:v>12.729208</c:v>
                </c:pt>
                <c:pt idx="3">
                  <c:v>19.225580000000001</c:v>
                </c:pt>
                <c:pt idx="4">
                  <c:v>29.101814000000001</c:v>
                </c:pt>
                <c:pt idx="5">
                  <c:v>44.083201000000003</c:v>
                </c:pt>
                <c:pt idx="6">
                  <c:v>66.753882000000004</c:v>
                </c:pt>
                <c:pt idx="7">
                  <c:v>100.978084</c:v>
                </c:pt>
                <c:pt idx="8">
                  <c:v>152.52604600000001</c:v>
                </c:pt>
                <c:pt idx="9">
                  <c:v>230.00342699999999</c:v>
                </c:pt>
                <c:pt idx="10">
                  <c:v>346.23065400000002</c:v>
                </c:pt>
                <c:pt idx="11">
                  <c:v>520.289132</c:v>
                </c:pt>
                <c:pt idx="12">
                  <c:v>780.55570699999998</c:v>
                </c:pt>
                <c:pt idx="13">
                  <c:v>1169.2012729999999</c:v>
                </c:pt>
                <c:pt idx="14">
                  <c:v>1748.858299</c:v>
                </c:pt>
                <c:pt idx="15">
                  <c:v>2612.5007799999998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354-4DE2-BB17-379D8A031130}"/>
            </c:ext>
          </c:extLst>
        </c:ser>
        <c:ser>
          <c:idx val="2"/>
          <c:order val="2"/>
          <c:tx>
            <c:v>у2 точн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'847'!$A$5:$A$35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'847'!$E$5:$E$35</c:f>
              <c:numCache>
                <c:formatCode>General</c:formatCode>
                <c:ptCount val="31"/>
                <c:pt idx="0">
                  <c:v>5.6630473096323994</c:v>
                </c:pt>
                <c:pt idx="1">
                  <c:v>6.9480675988133216</c:v>
                </c:pt>
                <c:pt idx="2">
                  <c:v>8.5413398905106472</c:v>
                </c:pt>
                <c:pt idx="3">
                  <c:v>10.516943096309317</c:v>
                </c:pt>
                <c:pt idx="4">
                  <c:v>12.966255081938939</c:v>
                </c:pt>
                <c:pt idx="5">
                  <c:v>16.001881682092744</c:v>
                </c:pt>
                <c:pt idx="6">
                  <c:v>19.762474812930201</c:v>
                </c:pt>
                <c:pt idx="7">
                  <c:v>24.418639826855063</c:v>
                </c:pt>
                <c:pt idx="8">
                  <c:v>30.18017584925293</c:v>
                </c:pt>
                <c:pt idx="9">
                  <c:v>37.304946312177613</c:v>
                </c:pt>
                <c:pt idx="10">
                  <c:v>46.109742551014939</c:v>
                </c:pt>
                <c:pt idx="11">
                  <c:v>56.983583848969992</c:v>
                </c:pt>
                <c:pt idx="12">
                  <c:v>70.403995921144769</c:v>
                </c:pt>
                <c:pt idx="13">
                  <c:v>86.956930439090712</c:v>
                </c:pt>
                <c:pt idx="14">
                  <c:v>107.36113560289455</c:v>
                </c:pt>
                <c:pt idx="15">
                  <c:v>132.49796785567264</c:v>
                </c:pt>
                <c:pt idx="16">
                  <c:v>163.44785482001876</c:v>
                </c:pt>
                <c:pt idx="17">
                  <c:v>201.53488825078898</c:v>
                </c:pt>
                <c:pt idx="18">
                  <c:v>248.38135404500738</c:v>
                </c:pt>
                <c:pt idx="19">
                  <c:v>305.97440732638694</c:v>
                </c:pt>
                <c:pt idx="20">
                  <c:v>376.74759045180883</c:v>
                </c:pt>
                <c:pt idx="21">
                  <c:v>463.68049016247255</c:v>
                </c:pt>
                <c:pt idx="22">
                  <c:v>570.42056107501037</c:v>
                </c:pt>
                <c:pt idx="23">
                  <c:v>701.43203565400131</c:v>
                </c:pt>
                <c:pt idx="24">
                  <c:v>862.17793160746896</c:v>
                </c:pt>
                <c:pt idx="25">
                  <c:v>1059.342500126269</c:v>
                </c:pt>
                <c:pt idx="26">
                  <c:v>1301.1030860762698</c:v>
                </c:pt>
                <c:pt idx="27">
                  <c:v>1597.4623595317203</c:v>
                </c:pt>
                <c:pt idx="28">
                  <c:v>1960.6543067703469</c:v>
                </c:pt>
                <c:pt idx="29">
                  <c:v>2405.6403355807561</c:v>
                </c:pt>
                <c:pt idx="30">
                  <c:v>2950.7154736058492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354-4DE2-BB17-379D8A031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037456"/>
        <c:axId val="690039056"/>
      </c:scatterChart>
      <c:valAx>
        <c:axId val="69003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0039056"/>
        <c:crosses val="autoZero"/>
        <c:crossBetween val="midCat"/>
      </c:valAx>
      <c:valAx>
        <c:axId val="69003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0037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Графическое изображение у1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y1 (h=0.05)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'805'!$A$4:$A$64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</c:numCache>
            </c:numRef>
          </c:xVal>
          <c:yVal>
            <c:numRef>
              <c:f>'805'!$B$4:$B$64</c:f>
              <c:numCache>
                <c:formatCode>General</c:formatCode>
                <c:ptCount val="61"/>
                <c:pt idx="0">
                  <c:v>2</c:v>
                </c:pt>
                <c:pt idx="1">
                  <c:v>2.1025</c:v>
                </c:pt>
                <c:pt idx="2">
                  <c:v>2.2102529999999998</c:v>
                </c:pt>
                <c:pt idx="3">
                  <c:v>2.3235290000000002</c:v>
                </c:pt>
                <c:pt idx="4">
                  <c:v>2.442609</c:v>
                </c:pt>
                <c:pt idx="5">
                  <c:v>2.567793</c:v>
                </c:pt>
                <c:pt idx="6">
                  <c:v>2.6993930000000002</c:v>
                </c:pt>
                <c:pt idx="7">
                  <c:v>2.837736</c:v>
                </c:pt>
                <c:pt idx="8">
                  <c:v>2.9831699999999999</c:v>
                </c:pt>
                <c:pt idx="9">
                  <c:v>3.1360579999999998</c:v>
                </c:pt>
                <c:pt idx="10">
                  <c:v>3.2967810000000002</c:v>
                </c:pt>
                <c:pt idx="11">
                  <c:v>3.465741</c:v>
                </c:pt>
                <c:pt idx="12">
                  <c:v>3.6433599999999999</c:v>
                </c:pt>
                <c:pt idx="13">
                  <c:v>3.830082</c:v>
                </c:pt>
                <c:pt idx="14">
                  <c:v>4.0263739999999997</c:v>
                </c:pt>
                <c:pt idx="15">
                  <c:v>4.2327260000000004</c:v>
                </c:pt>
                <c:pt idx="16">
                  <c:v>4.4496529999999996</c:v>
                </c:pt>
                <c:pt idx="17">
                  <c:v>4.6776980000000004</c:v>
                </c:pt>
                <c:pt idx="18">
                  <c:v>4.9174300000000004</c:v>
                </c:pt>
                <c:pt idx="19">
                  <c:v>5.169448</c:v>
                </c:pt>
                <c:pt idx="20">
                  <c:v>5.4343820000000003</c:v>
                </c:pt>
                <c:pt idx="21">
                  <c:v>5.7128940000000004</c:v>
                </c:pt>
                <c:pt idx="22">
                  <c:v>6.0056799999999999</c:v>
                </c:pt>
                <c:pt idx="23">
                  <c:v>6.3134709999999998</c:v>
                </c:pt>
                <c:pt idx="24">
                  <c:v>6.6370370000000003</c:v>
                </c:pt>
                <c:pt idx="25">
                  <c:v>6.9771850000000004</c:v>
                </c:pt>
                <c:pt idx="26">
                  <c:v>7.334765</c:v>
                </c:pt>
                <c:pt idx="27">
                  <c:v>7.7106719999999997</c:v>
                </c:pt>
                <c:pt idx="28">
                  <c:v>8.1058439999999994</c:v>
                </c:pt>
                <c:pt idx="29">
                  <c:v>8.5212690000000002</c:v>
                </c:pt>
                <c:pt idx="30">
                  <c:v>8.9579839999999997</c:v>
                </c:pt>
                <c:pt idx="31">
                  <c:v>9.4170800000000003</c:v>
                </c:pt>
                <c:pt idx="32">
                  <c:v>9.8997060000000001</c:v>
                </c:pt>
                <c:pt idx="33">
                  <c:v>10.407064999999999</c:v>
                </c:pt>
                <c:pt idx="34">
                  <c:v>10.940428000000001</c:v>
                </c:pt>
                <c:pt idx="35">
                  <c:v>11.501124000000001</c:v>
                </c:pt>
                <c:pt idx="36">
                  <c:v>12.090557</c:v>
                </c:pt>
                <c:pt idx="37">
                  <c:v>12.710198</c:v>
                </c:pt>
                <c:pt idx="38">
                  <c:v>13.361596</c:v>
                </c:pt>
                <c:pt idx="39">
                  <c:v>14.046378000000001</c:v>
                </c:pt>
                <c:pt idx="40">
                  <c:v>14.766254</c:v>
                </c:pt>
                <c:pt idx="41">
                  <c:v>15.523025000000001</c:v>
                </c:pt>
                <c:pt idx="42">
                  <c:v>16.318580000000001</c:v>
                </c:pt>
                <c:pt idx="43">
                  <c:v>17.154907000000001</c:v>
                </c:pt>
                <c:pt idx="44">
                  <c:v>18.034096000000002</c:v>
                </c:pt>
                <c:pt idx="45">
                  <c:v>18.958344</c:v>
                </c:pt>
                <c:pt idx="46">
                  <c:v>19.929959</c:v>
                </c:pt>
                <c:pt idx="47">
                  <c:v>20.951369</c:v>
                </c:pt>
                <c:pt idx="48">
                  <c:v>22.025127000000001</c:v>
                </c:pt>
                <c:pt idx="49">
                  <c:v>23.153915000000001</c:v>
                </c:pt>
                <c:pt idx="50">
                  <c:v>24.340553</c:v>
                </c:pt>
                <c:pt idx="51">
                  <c:v>25.588006</c:v>
                </c:pt>
                <c:pt idx="52">
                  <c:v>26.899391000000001</c:v>
                </c:pt>
                <c:pt idx="53">
                  <c:v>28.277985000000001</c:v>
                </c:pt>
                <c:pt idx="54">
                  <c:v>29.727232000000001</c:v>
                </c:pt>
                <c:pt idx="55">
                  <c:v>31.250753</c:v>
                </c:pt>
                <c:pt idx="56">
                  <c:v>32.852353999999998</c:v>
                </c:pt>
                <c:pt idx="57">
                  <c:v>34.536037</c:v>
                </c:pt>
                <c:pt idx="58">
                  <c:v>36.306009000000003</c:v>
                </c:pt>
                <c:pt idx="59">
                  <c:v>38.166691999999998</c:v>
                </c:pt>
                <c:pt idx="60">
                  <c:v>40.122734999999999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72-4ED5-A93B-2412AB9BC183}"/>
            </c:ext>
          </c:extLst>
        </c:ser>
        <c:ser>
          <c:idx val="1"/>
          <c:order val="1"/>
          <c:tx>
            <c:v>y1 (h=0.1)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'805'!$L$4:$L$34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'805'!$M$4:$M$34</c:f>
              <c:numCache>
                <c:formatCode>General</c:formatCode>
                <c:ptCount val="31"/>
                <c:pt idx="0">
                  <c:v>2</c:v>
                </c:pt>
                <c:pt idx="1">
                  <c:v>2.21</c:v>
                </c:pt>
                <c:pt idx="2">
                  <c:v>2.4420500000000001</c:v>
                </c:pt>
                <c:pt idx="3">
                  <c:v>2.6984650000000001</c:v>
                </c:pt>
                <c:pt idx="4">
                  <c:v>2.9818039999999999</c:v>
                </c:pt>
                <c:pt idx="5">
                  <c:v>3.2948940000000002</c:v>
                </c:pt>
                <c:pt idx="6">
                  <c:v>3.640857</c:v>
                </c:pt>
                <c:pt idx="7">
                  <c:v>4.0231469999999998</c:v>
                </c:pt>
                <c:pt idx="8">
                  <c:v>4.4455780000000003</c:v>
                </c:pt>
                <c:pt idx="9">
                  <c:v>4.9123640000000002</c:v>
                </c:pt>
                <c:pt idx="10">
                  <c:v>5.4281620000000004</c:v>
                </c:pt>
                <c:pt idx="11">
                  <c:v>5.998119</c:v>
                </c:pt>
                <c:pt idx="12">
                  <c:v>6.6279209999999997</c:v>
                </c:pt>
                <c:pt idx="13">
                  <c:v>7.3238529999999997</c:v>
                </c:pt>
                <c:pt idx="14">
                  <c:v>8.0928570000000004</c:v>
                </c:pt>
                <c:pt idx="15">
                  <c:v>8.9426070000000006</c:v>
                </c:pt>
                <c:pt idx="16">
                  <c:v>9.8815810000000006</c:v>
                </c:pt>
                <c:pt idx="17">
                  <c:v>10.919147000000001</c:v>
                </c:pt>
                <c:pt idx="18">
                  <c:v>12.065658000000001</c:v>
                </c:pt>
                <c:pt idx="19">
                  <c:v>13.332552</c:v>
                </c:pt>
                <c:pt idx="20">
                  <c:v>14.732469999999999</c:v>
                </c:pt>
                <c:pt idx="21">
                  <c:v>16.279378999999999</c:v>
                </c:pt>
                <c:pt idx="22">
                  <c:v>17.988714000000002</c:v>
                </c:pt>
                <c:pt idx="23">
                  <c:v>19.877528999999999</c:v>
                </c:pt>
                <c:pt idx="24">
                  <c:v>21.964669000000001</c:v>
                </c:pt>
                <c:pt idx="25">
                  <c:v>24.270959999999999</c:v>
                </c:pt>
                <c:pt idx="26">
                  <c:v>26.819410000000001</c:v>
                </c:pt>
                <c:pt idx="27">
                  <c:v>29.635448</c:v>
                </c:pt>
                <c:pt idx="28">
                  <c:v>32.747169999999997</c:v>
                </c:pt>
                <c:pt idx="29">
                  <c:v>36.185623</c:v>
                </c:pt>
                <c:pt idx="30">
                  <c:v>39.985114000000003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72-4ED5-A93B-2412AB9BC183}"/>
            </c:ext>
          </c:extLst>
        </c:ser>
        <c:ser>
          <c:idx val="2"/>
          <c:order val="2"/>
          <c:tx>
            <c:v>y точн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'805'!$A$4:$A$64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</c:numCache>
            </c:numRef>
          </c:xVal>
          <c:yVal>
            <c:numRef>
              <c:f>'805'!$E$4:$E$64</c:f>
              <c:numCache>
                <c:formatCode>General</c:formatCode>
                <c:ptCount val="61"/>
                <c:pt idx="0">
                  <c:v>2</c:v>
                </c:pt>
                <c:pt idx="1">
                  <c:v>2.1025421927520482</c:v>
                </c:pt>
                <c:pt idx="2">
                  <c:v>2.2103418361512954</c:v>
                </c:pt>
                <c:pt idx="3">
                  <c:v>2.3236684854565661</c:v>
                </c:pt>
                <c:pt idx="4">
                  <c:v>2.4428055163203397</c:v>
                </c:pt>
                <c:pt idx="5">
                  <c:v>2.5680508333754828</c:v>
                </c:pt>
                <c:pt idx="6">
                  <c:v>2.6997176151520064</c:v>
                </c:pt>
                <c:pt idx="7">
                  <c:v>2.8381350971865142</c:v>
                </c:pt>
                <c:pt idx="8">
                  <c:v>2.9836493952825407</c:v>
                </c:pt>
                <c:pt idx="9">
                  <c:v>3.1366243709803379</c:v>
                </c:pt>
                <c:pt idx="10">
                  <c:v>3.2974425414002564</c:v>
                </c:pt>
                <c:pt idx="11">
                  <c:v>3.4665060357347905</c:v>
                </c:pt>
                <c:pt idx="12">
                  <c:v>3.6442376007810178</c:v>
                </c:pt>
                <c:pt idx="13">
                  <c:v>3.8310816580277924</c:v>
                </c:pt>
                <c:pt idx="14">
                  <c:v>4.0275054149409533</c:v>
                </c:pt>
                <c:pt idx="15">
                  <c:v>4.2340000332253496</c:v>
                </c:pt>
                <c:pt idx="16">
                  <c:v>4.4510818569849357</c:v>
                </c:pt>
                <c:pt idx="17">
                  <c:v>4.6792937038519815</c:v>
                </c:pt>
                <c:pt idx="18">
                  <c:v>4.9192062223138997</c:v>
                </c:pt>
                <c:pt idx="19">
                  <c:v>5.1714193186316919</c:v>
                </c:pt>
                <c:pt idx="20">
                  <c:v>5.4365636569180902</c:v>
                </c:pt>
                <c:pt idx="21">
                  <c:v>5.7153022361263277</c:v>
                </c:pt>
                <c:pt idx="22">
                  <c:v>6.0083320478928668</c:v>
                </c:pt>
                <c:pt idx="23">
                  <c:v>6.3163858193795344</c:v>
                </c:pt>
                <c:pt idx="24">
                  <c:v>6.6402338454730945</c:v>
                </c:pt>
                <c:pt idx="25">
                  <c:v>6.9806859149236828</c:v>
                </c:pt>
                <c:pt idx="26">
                  <c:v>7.3385933352384889</c:v>
                </c:pt>
                <c:pt idx="27">
                  <c:v>7.7148510613939489</c:v>
                </c:pt>
                <c:pt idx="28">
                  <c:v>8.1103999336893491</c:v>
                </c:pt>
                <c:pt idx="29">
                  <c:v>8.5262290303376336</c:v>
                </c:pt>
                <c:pt idx="30">
                  <c:v>8.963378140676129</c:v>
                </c:pt>
                <c:pt idx="31">
                  <c:v>9.4229403651814838</c:v>
                </c:pt>
                <c:pt idx="32">
                  <c:v>9.9060648487902299</c:v>
                </c:pt>
                <c:pt idx="33">
                  <c:v>10.413959654359697</c:v>
                </c:pt>
                <c:pt idx="34">
                  <c:v>10.9478947834544</c:v>
                </c:pt>
                <c:pt idx="35">
                  <c:v>11.509205352011461</c:v>
                </c:pt>
                <c:pt idx="36">
                  <c:v>12.099294928825893</c:v>
                </c:pt>
                <c:pt idx="37">
                  <c:v>12.719639045203664</c:v>
                </c:pt>
                <c:pt idx="38">
                  <c:v>13.371788884558537</c:v>
                </c:pt>
                <c:pt idx="39">
                  <c:v>14.057375161178586</c:v>
                </c:pt>
                <c:pt idx="40">
                  <c:v>14.778112197861301</c:v>
                </c:pt>
                <c:pt idx="41">
                  <c:v>15.535802212613541</c:v>
                </c:pt>
                <c:pt idx="42">
                  <c:v>16.332339825135303</c:v>
                </c:pt>
                <c:pt idx="43">
                  <c:v>17.169716794355786</c:v>
                </c:pt>
                <c:pt idx="44">
                  <c:v>18.050026998868244</c:v>
                </c:pt>
                <c:pt idx="45">
                  <c:v>18.975471672717052</c:v>
                </c:pt>
                <c:pt idx="46">
                  <c:v>19.948364909629436</c:v>
                </c:pt>
                <c:pt idx="47">
                  <c:v>20.971139449455151</c:v>
                </c:pt>
                <c:pt idx="48">
                  <c:v>22.046352761283202</c:v>
                </c:pt>
                <c:pt idx="49">
                  <c:v>23.176693438446783</c:v>
                </c:pt>
                <c:pt idx="50">
                  <c:v>24.364987921406946</c:v>
                </c:pt>
                <c:pt idx="51">
                  <c:v>25.614207565326058</c:v>
                </c:pt>
                <c:pt idx="52">
                  <c:v>26.927476070003383</c:v>
                </c:pt>
                <c:pt idx="53">
                  <c:v>28.308077290751601</c:v>
                </c:pt>
                <c:pt idx="54">
                  <c:v>29.759463449745674</c:v>
                </c:pt>
                <c:pt idx="55">
                  <c:v>31.285263768376343</c:v>
                </c:pt>
                <c:pt idx="56">
                  <c:v>32.889293542194096</c:v>
                </c:pt>
                <c:pt idx="57">
                  <c:v>34.575563681135279</c:v>
                </c:pt>
                <c:pt idx="58">
                  <c:v>36.348290738886121</c:v>
                </c:pt>
                <c:pt idx="59">
                  <c:v>38.211907456463301</c:v>
                </c:pt>
                <c:pt idx="60">
                  <c:v>40.171073846375336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572-4ED5-A93B-2412AB9BC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064016"/>
        <c:axId val="690064976"/>
      </c:scatterChart>
      <c:valAx>
        <c:axId val="69006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0064976"/>
        <c:crosses val="autoZero"/>
        <c:crossBetween val="midCat"/>
      </c:valAx>
      <c:valAx>
        <c:axId val="69006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0064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Графическое изображение у2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y2 (h=0.05)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'805'!$A$4:$A$64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</c:numCache>
            </c:numRef>
          </c:xVal>
          <c:yVal>
            <c:numRef>
              <c:f>'805'!$C$4:$C$64</c:f>
              <c:numCache>
                <c:formatCode>General</c:formatCode>
                <c:ptCount val="61"/>
                <c:pt idx="0">
                  <c:v>1</c:v>
                </c:pt>
                <c:pt idx="1">
                  <c:v>1.05125</c:v>
                </c:pt>
                <c:pt idx="2">
                  <c:v>1.105127</c:v>
                </c:pt>
                <c:pt idx="3">
                  <c:v>1.161764</c:v>
                </c:pt>
                <c:pt idx="4">
                  <c:v>1.2213050000000001</c:v>
                </c:pt>
                <c:pt idx="5">
                  <c:v>1.2838970000000001</c:v>
                </c:pt>
                <c:pt idx="6">
                  <c:v>1.349696</c:v>
                </c:pt>
                <c:pt idx="7">
                  <c:v>1.418868</c:v>
                </c:pt>
                <c:pt idx="8">
                  <c:v>1.4915849999999999</c:v>
                </c:pt>
                <c:pt idx="9">
                  <c:v>1.5680289999999999</c:v>
                </c:pt>
                <c:pt idx="10">
                  <c:v>1.64839</c:v>
                </c:pt>
                <c:pt idx="11">
                  <c:v>1.7328699999999999</c:v>
                </c:pt>
                <c:pt idx="12">
                  <c:v>1.82168</c:v>
                </c:pt>
                <c:pt idx="13">
                  <c:v>1.915041</c:v>
                </c:pt>
                <c:pt idx="14">
                  <c:v>2.0131869999999998</c:v>
                </c:pt>
                <c:pt idx="15">
                  <c:v>2.1163630000000002</c:v>
                </c:pt>
                <c:pt idx="16">
                  <c:v>2.2248260000000002</c:v>
                </c:pt>
                <c:pt idx="17">
                  <c:v>2.3388490000000002</c:v>
                </c:pt>
                <c:pt idx="18">
                  <c:v>2.4587150000000002</c:v>
                </c:pt>
                <c:pt idx="19">
                  <c:v>2.584724</c:v>
                </c:pt>
                <c:pt idx="20">
                  <c:v>2.7171910000000001</c:v>
                </c:pt>
                <c:pt idx="21">
                  <c:v>2.8564470000000002</c:v>
                </c:pt>
                <c:pt idx="22">
                  <c:v>3.00284</c:v>
                </c:pt>
                <c:pt idx="23">
                  <c:v>3.156736</c:v>
                </c:pt>
                <c:pt idx="24">
                  <c:v>3.3185180000000001</c:v>
                </c:pt>
                <c:pt idx="25">
                  <c:v>3.4885920000000001</c:v>
                </c:pt>
                <c:pt idx="26">
                  <c:v>3.6673830000000001</c:v>
                </c:pt>
                <c:pt idx="27">
                  <c:v>3.8553359999999999</c:v>
                </c:pt>
                <c:pt idx="28">
                  <c:v>4.0529219999999997</c:v>
                </c:pt>
                <c:pt idx="29">
                  <c:v>4.2606339999999996</c:v>
                </c:pt>
                <c:pt idx="30">
                  <c:v>4.4789919999999999</c:v>
                </c:pt>
                <c:pt idx="31">
                  <c:v>4.7085400000000002</c:v>
                </c:pt>
                <c:pt idx="32">
                  <c:v>4.9498530000000001</c:v>
                </c:pt>
                <c:pt idx="33">
                  <c:v>5.2035330000000002</c:v>
                </c:pt>
                <c:pt idx="34">
                  <c:v>5.4702140000000004</c:v>
                </c:pt>
                <c:pt idx="35">
                  <c:v>5.7505620000000004</c:v>
                </c:pt>
                <c:pt idx="36">
                  <c:v>6.0452789999999998</c:v>
                </c:pt>
                <c:pt idx="37">
                  <c:v>6.3550990000000001</c:v>
                </c:pt>
                <c:pt idx="38">
                  <c:v>6.6807980000000002</c:v>
                </c:pt>
                <c:pt idx="39">
                  <c:v>7.0231890000000003</c:v>
                </c:pt>
                <c:pt idx="40">
                  <c:v>7.383127</c:v>
                </c:pt>
                <c:pt idx="41">
                  <c:v>7.7615119999999997</c:v>
                </c:pt>
                <c:pt idx="42">
                  <c:v>8.1592900000000004</c:v>
                </c:pt>
                <c:pt idx="43">
                  <c:v>8.5774539999999995</c:v>
                </c:pt>
                <c:pt idx="44">
                  <c:v>9.0170480000000008</c:v>
                </c:pt>
                <c:pt idx="45">
                  <c:v>9.4791720000000002</c:v>
                </c:pt>
                <c:pt idx="46">
                  <c:v>9.9649789999999996</c:v>
                </c:pt>
                <c:pt idx="47">
                  <c:v>10.475685</c:v>
                </c:pt>
                <c:pt idx="48">
                  <c:v>11.012563</c:v>
                </c:pt>
                <c:pt idx="49">
                  <c:v>11.576957</c:v>
                </c:pt>
                <c:pt idx="50">
                  <c:v>12.170275999999999</c:v>
                </c:pt>
                <c:pt idx="51">
                  <c:v>12.794003</c:v>
                </c:pt>
                <c:pt idx="52">
                  <c:v>13.449695999999999</c:v>
                </c:pt>
                <c:pt idx="53">
                  <c:v>14.138992999999999</c:v>
                </c:pt>
                <c:pt idx="54">
                  <c:v>14.863616</c:v>
                </c:pt>
                <c:pt idx="55">
                  <c:v>15.625375999999999</c:v>
                </c:pt>
                <c:pt idx="56">
                  <c:v>16.426176999999999</c:v>
                </c:pt>
                <c:pt idx="57">
                  <c:v>17.268018000000001</c:v>
                </c:pt>
                <c:pt idx="58">
                  <c:v>18.153003999999999</c:v>
                </c:pt>
                <c:pt idx="59">
                  <c:v>19.083345999999999</c:v>
                </c:pt>
                <c:pt idx="60">
                  <c:v>20.061367000000001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1D-40EA-9EE4-566FB31284B5}"/>
            </c:ext>
          </c:extLst>
        </c:ser>
        <c:ser>
          <c:idx val="1"/>
          <c:order val="1"/>
          <c:tx>
            <c:v>y2 (h=0.1)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'805'!$L$4:$L$34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'805'!$N$4:$N$34</c:f>
              <c:numCache>
                <c:formatCode>General</c:formatCode>
                <c:ptCount val="31"/>
                <c:pt idx="0">
                  <c:v>1</c:v>
                </c:pt>
                <c:pt idx="1">
                  <c:v>1.105</c:v>
                </c:pt>
                <c:pt idx="2">
                  <c:v>1.221025</c:v>
                </c:pt>
                <c:pt idx="3">
                  <c:v>1.3492329999999999</c:v>
                </c:pt>
                <c:pt idx="4">
                  <c:v>1.4909019999999999</c:v>
                </c:pt>
                <c:pt idx="5">
                  <c:v>1.6474470000000001</c:v>
                </c:pt>
                <c:pt idx="6">
                  <c:v>1.8204290000000001</c:v>
                </c:pt>
                <c:pt idx="7">
                  <c:v>2.011574</c:v>
                </c:pt>
                <c:pt idx="8">
                  <c:v>2.2227890000000001</c:v>
                </c:pt>
                <c:pt idx="9">
                  <c:v>2.4561820000000001</c:v>
                </c:pt>
                <c:pt idx="10">
                  <c:v>2.7140810000000002</c:v>
                </c:pt>
                <c:pt idx="11">
                  <c:v>2.9990589999999999</c:v>
                </c:pt>
                <c:pt idx="12">
                  <c:v>3.3139609999999999</c:v>
                </c:pt>
                <c:pt idx="13">
                  <c:v>3.6619259999999998</c:v>
                </c:pt>
                <c:pt idx="14">
                  <c:v>4.0464289999999998</c:v>
                </c:pt>
                <c:pt idx="15">
                  <c:v>4.4713039999999999</c:v>
                </c:pt>
                <c:pt idx="16">
                  <c:v>4.9407909999999999</c:v>
                </c:pt>
                <c:pt idx="17">
                  <c:v>5.4595739999999999</c:v>
                </c:pt>
                <c:pt idx="18">
                  <c:v>6.0328290000000004</c:v>
                </c:pt>
                <c:pt idx="19">
                  <c:v>6.6662759999999999</c:v>
                </c:pt>
                <c:pt idx="20">
                  <c:v>7.3662349999999996</c:v>
                </c:pt>
                <c:pt idx="21">
                  <c:v>8.1396899999999999</c:v>
                </c:pt>
                <c:pt idx="22">
                  <c:v>8.9943570000000008</c:v>
                </c:pt>
                <c:pt idx="23">
                  <c:v>9.9387640000000008</c:v>
                </c:pt>
                <c:pt idx="24">
                  <c:v>10.982335000000001</c:v>
                </c:pt>
                <c:pt idx="25">
                  <c:v>12.135479999999999</c:v>
                </c:pt>
                <c:pt idx="26">
                  <c:v>13.409705000000001</c:v>
                </c:pt>
                <c:pt idx="27">
                  <c:v>14.817724</c:v>
                </c:pt>
                <c:pt idx="28">
                  <c:v>16.373584999999999</c:v>
                </c:pt>
                <c:pt idx="29">
                  <c:v>18.092811999999999</c:v>
                </c:pt>
                <c:pt idx="30">
                  <c:v>19.992557000000001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31D-40EA-9EE4-566FB31284B5}"/>
            </c:ext>
          </c:extLst>
        </c:ser>
        <c:ser>
          <c:idx val="2"/>
          <c:order val="2"/>
          <c:tx>
            <c:v>y2 точн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'805'!$A$4:$A$64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</c:numCache>
            </c:numRef>
          </c:xVal>
          <c:yVal>
            <c:numRef>
              <c:f>'805'!$F$4:$F$64</c:f>
              <c:numCache>
                <c:formatCode>General</c:formatCode>
                <c:ptCount val="61"/>
                <c:pt idx="0">
                  <c:v>1</c:v>
                </c:pt>
                <c:pt idx="1">
                  <c:v>1.0512710963760241</c:v>
                </c:pt>
                <c:pt idx="2">
                  <c:v>1.1051709180756477</c:v>
                </c:pt>
                <c:pt idx="3">
                  <c:v>1.1618342427282831</c:v>
                </c:pt>
                <c:pt idx="4">
                  <c:v>1.2214027581601699</c:v>
                </c:pt>
                <c:pt idx="5">
                  <c:v>1.2840254166877414</c:v>
                </c:pt>
                <c:pt idx="6">
                  <c:v>1.3498588075760032</c:v>
                </c:pt>
                <c:pt idx="7">
                  <c:v>1.4190675485932571</c:v>
                </c:pt>
                <c:pt idx="8">
                  <c:v>1.4918246976412703</c:v>
                </c:pt>
                <c:pt idx="9">
                  <c:v>1.5683121854901689</c:v>
                </c:pt>
                <c:pt idx="10">
                  <c:v>1.6487212707001282</c:v>
                </c:pt>
                <c:pt idx="11">
                  <c:v>1.7332530178673953</c:v>
                </c:pt>
                <c:pt idx="12">
                  <c:v>1.8221188003905089</c:v>
                </c:pt>
                <c:pt idx="13">
                  <c:v>1.9155408290138962</c:v>
                </c:pt>
                <c:pt idx="14">
                  <c:v>2.0137527074704766</c:v>
                </c:pt>
                <c:pt idx="15">
                  <c:v>2.1170000166126748</c:v>
                </c:pt>
                <c:pt idx="16">
                  <c:v>2.2255409284924679</c:v>
                </c:pt>
                <c:pt idx="17">
                  <c:v>2.3396468519259908</c:v>
                </c:pt>
                <c:pt idx="18">
                  <c:v>2.4596031111569499</c:v>
                </c:pt>
                <c:pt idx="19">
                  <c:v>2.585709659315846</c:v>
                </c:pt>
                <c:pt idx="20">
                  <c:v>2.7182818284590451</c:v>
                </c:pt>
                <c:pt idx="21">
                  <c:v>2.8576511180631639</c:v>
                </c:pt>
                <c:pt idx="22">
                  <c:v>3.0041660239464334</c:v>
                </c:pt>
                <c:pt idx="23">
                  <c:v>3.1581929096897672</c:v>
                </c:pt>
                <c:pt idx="24">
                  <c:v>3.3201169227365472</c:v>
                </c:pt>
                <c:pt idx="25">
                  <c:v>3.4903429574618414</c:v>
                </c:pt>
                <c:pt idx="26">
                  <c:v>3.6692966676192444</c:v>
                </c:pt>
                <c:pt idx="27">
                  <c:v>3.8574255306969745</c:v>
                </c:pt>
                <c:pt idx="28">
                  <c:v>4.0551999668446745</c:v>
                </c:pt>
                <c:pt idx="29">
                  <c:v>4.2631145151688168</c:v>
                </c:pt>
                <c:pt idx="30">
                  <c:v>4.4816890703380645</c:v>
                </c:pt>
                <c:pt idx="31">
                  <c:v>4.7114701825907419</c:v>
                </c:pt>
                <c:pt idx="32">
                  <c:v>4.9530324243951149</c:v>
                </c:pt>
                <c:pt idx="33">
                  <c:v>5.2069798271798486</c:v>
                </c:pt>
                <c:pt idx="34">
                  <c:v>5.4739473917271999</c:v>
                </c:pt>
                <c:pt idx="35">
                  <c:v>5.7546026760057307</c:v>
                </c:pt>
                <c:pt idx="36">
                  <c:v>6.0496474644129465</c:v>
                </c:pt>
                <c:pt idx="37">
                  <c:v>6.3598195226018319</c:v>
                </c:pt>
                <c:pt idx="38">
                  <c:v>6.6858944422792685</c:v>
                </c:pt>
                <c:pt idx="39">
                  <c:v>7.0286875805892928</c:v>
                </c:pt>
                <c:pt idx="40">
                  <c:v>7.3890560989306504</c:v>
                </c:pt>
                <c:pt idx="41">
                  <c:v>7.7679011063067707</c:v>
                </c:pt>
                <c:pt idx="42">
                  <c:v>8.1661699125676517</c:v>
                </c:pt>
                <c:pt idx="43">
                  <c:v>8.5848583971778929</c:v>
                </c:pt>
                <c:pt idx="44">
                  <c:v>9.025013499434122</c:v>
                </c:pt>
                <c:pt idx="45">
                  <c:v>9.4877358363585262</c:v>
                </c:pt>
                <c:pt idx="46">
                  <c:v>9.9741824548147182</c:v>
                </c:pt>
                <c:pt idx="47">
                  <c:v>10.485569724727576</c:v>
                </c:pt>
                <c:pt idx="48">
                  <c:v>11.023176380641601</c:v>
                </c:pt>
                <c:pt idx="49">
                  <c:v>11.588346719223392</c:v>
                </c:pt>
                <c:pt idx="50">
                  <c:v>12.182493960703473</c:v>
                </c:pt>
                <c:pt idx="51">
                  <c:v>12.807103782663029</c:v>
                </c:pt>
                <c:pt idx="52">
                  <c:v>13.463738035001692</c:v>
                </c:pt>
                <c:pt idx="53">
                  <c:v>14.154038645375801</c:v>
                </c:pt>
                <c:pt idx="54">
                  <c:v>14.879731724872837</c:v>
                </c:pt>
                <c:pt idx="55">
                  <c:v>15.642631884188171</c:v>
                </c:pt>
                <c:pt idx="56">
                  <c:v>16.444646771097048</c:v>
                </c:pt>
                <c:pt idx="57">
                  <c:v>17.287781840567639</c:v>
                </c:pt>
                <c:pt idx="58">
                  <c:v>18.17414536944306</c:v>
                </c:pt>
                <c:pt idx="59">
                  <c:v>19.105953728231651</c:v>
                </c:pt>
                <c:pt idx="60">
                  <c:v>20.085536923187668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31D-40EA-9EE4-566FB3128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592632"/>
        <c:axId val="848594552"/>
      </c:scatterChart>
      <c:valAx>
        <c:axId val="848592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594552"/>
        <c:crosses val="autoZero"/>
        <c:crossBetween val="midCat"/>
      </c:valAx>
      <c:valAx>
        <c:axId val="848594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592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Графическое изображение у3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y3 (h=0.05)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'805'!$A$4:$A$64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</c:numCache>
            </c:numRef>
          </c:xVal>
          <c:yVal>
            <c:numRef>
              <c:f>'805'!$D$4:$D$64</c:f>
              <c:numCache>
                <c:formatCode>General</c:formatCode>
                <c:ptCount val="61"/>
                <c:pt idx="0">
                  <c:v>1</c:v>
                </c:pt>
                <c:pt idx="1">
                  <c:v>1.05125</c:v>
                </c:pt>
                <c:pt idx="2">
                  <c:v>1.105127</c:v>
                </c:pt>
                <c:pt idx="3">
                  <c:v>1.161764</c:v>
                </c:pt>
                <c:pt idx="4">
                  <c:v>1.2213050000000001</c:v>
                </c:pt>
                <c:pt idx="5">
                  <c:v>1.2838970000000001</c:v>
                </c:pt>
                <c:pt idx="6">
                  <c:v>1.349696</c:v>
                </c:pt>
                <c:pt idx="7">
                  <c:v>1.418868</c:v>
                </c:pt>
                <c:pt idx="8">
                  <c:v>1.4915849999999999</c:v>
                </c:pt>
                <c:pt idx="9">
                  <c:v>1.5680289999999999</c:v>
                </c:pt>
                <c:pt idx="10">
                  <c:v>1.64839</c:v>
                </c:pt>
                <c:pt idx="11">
                  <c:v>1.7328699999999999</c:v>
                </c:pt>
                <c:pt idx="12">
                  <c:v>1.82168</c:v>
                </c:pt>
                <c:pt idx="13">
                  <c:v>1.915041</c:v>
                </c:pt>
                <c:pt idx="14">
                  <c:v>2.0131869999999998</c:v>
                </c:pt>
                <c:pt idx="15">
                  <c:v>2.1163630000000002</c:v>
                </c:pt>
                <c:pt idx="16">
                  <c:v>2.2248260000000002</c:v>
                </c:pt>
                <c:pt idx="17">
                  <c:v>2.3388490000000002</c:v>
                </c:pt>
                <c:pt idx="18">
                  <c:v>2.4587150000000002</c:v>
                </c:pt>
                <c:pt idx="19">
                  <c:v>2.584724</c:v>
                </c:pt>
                <c:pt idx="20">
                  <c:v>2.7171910000000001</c:v>
                </c:pt>
                <c:pt idx="21">
                  <c:v>2.8564470000000002</c:v>
                </c:pt>
                <c:pt idx="22">
                  <c:v>3.00284</c:v>
                </c:pt>
                <c:pt idx="23">
                  <c:v>3.156736</c:v>
                </c:pt>
                <c:pt idx="24">
                  <c:v>3.3185180000000001</c:v>
                </c:pt>
                <c:pt idx="25">
                  <c:v>3.4885920000000001</c:v>
                </c:pt>
                <c:pt idx="26">
                  <c:v>3.6673830000000001</c:v>
                </c:pt>
                <c:pt idx="27">
                  <c:v>3.8553359999999999</c:v>
                </c:pt>
                <c:pt idx="28">
                  <c:v>4.0529219999999997</c:v>
                </c:pt>
                <c:pt idx="29">
                  <c:v>4.2606339999999996</c:v>
                </c:pt>
                <c:pt idx="30">
                  <c:v>4.4789919999999999</c:v>
                </c:pt>
                <c:pt idx="31">
                  <c:v>4.7085400000000002</c:v>
                </c:pt>
                <c:pt idx="32">
                  <c:v>4.9498530000000001</c:v>
                </c:pt>
                <c:pt idx="33">
                  <c:v>5.2035330000000002</c:v>
                </c:pt>
                <c:pt idx="34">
                  <c:v>5.4702140000000004</c:v>
                </c:pt>
                <c:pt idx="35">
                  <c:v>5.7505620000000004</c:v>
                </c:pt>
                <c:pt idx="36">
                  <c:v>6.0452789999999998</c:v>
                </c:pt>
                <c:pt idx="37">
                  <c:v>6.3550990000000001</c:v>
                </c:pt>
                <c:pt idx="38">
                  <c:v>6.6807980000000002</c:v>
                </c:pt>
                <c:pt idx="39">
                  <c:v>7.0231890000000003</c:v>
                </c:pt>
                <c:pt idx="40">
                  <c:v>7.383127</c:v>
                </c:pt>
                <c:pt idx="41">
                  <c:v>7.7615119999999997</c:v>
                </c:pt>
                <c:pt idx="42">
                  <c:v>8.1592900000000004</c:v>
                </c:pt>
                <c:pt idx="43">
                  <c:v>8.5774539999999995</c:v>
                </c:pt>
                <c:pt idx="44">
                  <c:v>9.0170480000000008</c:v>
                </c:pt>
                <c:pt idx="45">
                  <c:v>9.4791720000000002</c:v>
                </c:pt>
                <c:pt idx="46">
                  <c:v>9.9649789999999996</c:v>
                </c:pt>
                <c:pt idx="47">
                  <c:v>10.475685</c:v>
                </c:pt>
                <c:pt idx="48">
                  <c:v>11.012563</c:v>
                </c:pt>
                <c:pt idx="49">
                  <c:v>11.576957</c:v>
                </c:pt>
                <c:pt idx="50">
                  <c:v>12.170275999999999</c:v>
                </c:pt>
                <c:pt idx="51">
                  <c:v>12.794003</c:v>
                </c:pt>
                <c:pt idx="52">
                  <c:v>13.449695999999999</c:v>
                </c:pt>
                <c:pt idx="53">
                  <c:v>14.138992999999999</c:v>
                </c:pt>
                <c:pt idx="54">
                  <c:v>14.863616</c:v>
                </c:pt>
                <c:pt idx="55">
                  <c:v>15.625375999999999</c:v>
                </c:pt>
                <c:pt idx="56">
                  <c:v>16.426176999999999</c:v>
                </c:pt>
                <c:pt idx="57">
                  <c:v>17.268018000000001</c:v>
                </c:pt>
                <c:pt idx="58">
                  <c:v>18.153003999999999</c:v>
                </c:pt>
                <c:pt idx="59">
                  <c:v>19.083345999999999</c:v>
                </c:pt>
                <c:pt idx="60">
                  <c:v>20.061367000000001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E0-4C16-B61F-E7B561AFA3D4}"/>
            </c:ext>
          </c:extLst>
        </c:ser>
        <c:ser>
          <c:idx val="1"/>
          <c:order val="1"/>
          <c:tx>
            <c:v>y3 (h=0.1)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'805'!$L$4:$L$34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'805'!$O$4:$O$34</c:f>
              <c:numCache>
                <c:formatCode>General</c:formatCode>
                <c:ptCount val="31"/>
                <c:pt idx="0">
                  <c:v>1</c:v>
                </c:pt>
                <c:pt idx="1">
                  <c:v>1.105</c:v>
                </c:pt>
                <c:pt idx="2">
                  <c:v>1.221025</c:v>
                </c:pt>
                <c:pt idx="3">
                  <c:v>1.3492329999999999</c:v>
                </c:pt>
                <c:pt idx="4">
                  <c:v>1.4909019999999999</c:v>
                </c:pt>
                <c:pt idx="5">
                  <c:v>1.6474470000000001</c:v>
                </c:pt>
                <c:pt idx="6">
                  <c:v>1.8204290000000001</c:v>
                </c:pt>
                <c:pt idx="7">
                  <c:v>2.011574</c:v>
                </c:pt>
                <c:pt idx="8">
                  <c:v>2.2227890000000001</c:v>
                </c:pt>
                <c:pt idx="9">
                  <c:v>2.4561820000000001</c:v>
                </c:pt>
                <c:pt idx="10">
                  <c:v>2.7140810000000002</c:v>
                </c:pt>
                <c:pt idx="11">
                  <c:v>2.9990589999999999</c:v>
                </c:pt>
                <c:pt idx="12">
                  <c:v>3.3139609999999999</c:v>
                </c:pt>
                <c:pt idx="13">
                  <c:v>3.6619259999999998</c:v>
                </c:pt>
                <c:pt idx="14">
                  <c:v>4.0464289999999998</c:v>
                </c:pt>
                <c:pt idx="15">
                  <c:v>4.4713039999999999</c:v>
                </c:pt>
                <c:pt idx="16">
                  <c:v>4.9407909999999999</c:v>
                </c:pt>
                <c:pt idx="17">
                  <c:v>5.4595739999999999</c:v>
                </c:pt>
                <c:pt idx="18">
                  <c:v>6.0328290000000004</c:v>
                </c:pt>
                <c:pt idx="19">
                  <c:v>6.6662759999999999</c:v>
                </c:pt>
                <c:pt idx="20">
                  <c:v>7.3662349999999996</c:v>
                </c:pt>
                <c:pt idx="21">
                  <c:v>8.1396899999999999</c:v>
                </c:pt>
                <c:pt idx="22">
                  <c:v>8.9943570000000008</c:v>
                </c:pt>
                <c:pt idx="23">
                  <c:v>9.9387640000000008</c:v>
                </c:pt>
                <c:pt idx="24">
                  <c:v>10.982335000000001</c:v>
                </c:pt>
                <c:pt idx="25">
                  <c:v>12.135479999999999</c:v>
                </c:pt>
                <c:pt idx="26">
                  <c:v>13.409705000000001</c:v>
                </c:pt>
                <c:pt idx="27">
                  <c:v>14.817724</c:v>
                </c:pt>
                <c:pt idx="28">
                  <c:v>16.373584999999999</c:v>
                </c:pt>
                <c:pt idx="29">
                  <c:v>18.092811999999999</c:v>
                </c:pt>
                <c:pt idx="30">
                  <c:v>19.992557000000001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E0-4C16-B61F-E7B561AFA3D4}"/>
            </c:ext>
          </c:extLst>
        </c:ser>
        <c:ser>
          <c:idx val="2"/>
          <c:order val="2"/>
          <c:tx>
            <c:v>y3 точн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'805'!$A$4:$A$64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</c:numCache>
            </c:numRef>
          </c:xVal>
          <c:yVal>
            <c:numRef>
              <c:f>'805'!$G$4:$G$64</c:f>
              <c:numCache>
                <c:formatCode>General</c:formatCode>
                <c:ptCount val="61"/>
                <c:pt idx="0">
                  <c:v>1</c:v>
                </c:pt>
                <c:pt idx="1">
                  <c:v>1.0512710963760241</c:v>
                </c:pt>
                <c:pt idx="2">
                  <c:v>1.1051709180756477</c:v>
                </c:pt>
                <c:pt idx="3">
                  <c:v>1.1618342427282831</c:v>
                </c:pt>
                <c:pt idx="4">
                  <c:v>1.2214027581601699</c:v>
                </c:pt>
                <c:pt idx="5">
                  <c:v>1.2840254166877414</c:v>
                </c:pt>
                <c:pt idx="6">
                  <c:v>1.3498588075760032</c:v>
                </c:pt>
                <c:pt idx="7">
                  <c:v>1.4190675485932571</c:v>
                </c:pt>
                <c:pt idx="8">
                  <c:v>1.4918246976412703</c:v>
                </c:pt>
                <c:pt idx="9">
                  <c:v>1.5683121854901689</c:v>
                </c:pt>
                <c:pt idx="10">
                  <c:v>1.6487212707001282</c:v>
                </c:pt>
                <c:pt idx="11">
                  <c:v>1.7332530178673953</c:v>
                </c:pt>
                <c:pt idx="12">
                  <c:v>1.8221188003905089</c:v>
                </c:pt>
                <c:pt idx="13">
                  <c:v>1.9155408290138962</c:v>
                </c:pt>
                <c:pt idx="14">
                  <c:v>2.0137527074704766</c:v>
                </c:pt>
                <c:pt idx="15">
                  <c:v>2.1170000166126748</c:v>
                </c:pt>
                <c:pt idx="16">
                  <c:v>2.2255409284924679</c:v>
                </c:pt>
                <c:pt idx="17">
                  <c:v>2.3396468519259908</c:v>
                </c:pt>
                <c:pt idx="18">
                  <c:v>2.4596031111569499</c:v>
                </c:pt>
                <c:pt idx="19">
                  <c:v>2.585709659315846</c:v>
                </c:pt>
                <c:pt idx="20">
                  <c:v>2.7182818284590451</c:v>
                </c:pt>
                <c:pt idx="21">
                  <c:v>2.8576511180631639</c:v>
                </c:pt>
                <c:pt idx="22">
                  <c:v>3.0041660239464334</c:v>
                </c:pt>
                <c:pt idx="23">
                  <c:v>3.1581929096897672</c:v>
                </c:pt>
                <c:pt idx="24">
                  <c:v>3.3201169227365472</c:v>
                </c:pt>
                <c:pt idx="25">
                  <c:v>3.4903429574618414</c:v>
                </c:pt>
                <c:pt idx="26">
                  <c:v>3.6692966676192444</c:v>
                </c:pt>
                <c:pt idx="27">
                  <c:v>3.8574255306969745</c:v>
                </c:pt>
                <c:pt idx="28">
                  <c:v>4.0551999668446745</c:v>
                </c:pt>
                <c:pt idx="29">
                  <c:v>4.2631145151688168</c:v>
                </c:pt>
                <c:pt idx="30">
                  <c:v>4.4816890703380645</c:v>
                </c:pt>
                <c:pt idx="31">
                  <c:v>4.7114701825907419</c:v>
                </c:pt>
                <c:pt idx="32">
                  <c:v>4.9530324243951149</c:v>
                </c:pt>
                <c:pt idx="33">
                  <c:v>5.2069798271798486</c:v>
                </c:pt>
                <c:pt idx="34">
                  <c:v>5.4739473917271999</c:v>
                </c:pt>
                <c:pt idx="35">
                  <c:v>5.7546026760057307</c:v>
                </c:pt>
                <c:pt idx="36">
                  <c:v>6.0496474644129465</c:v>
                </c:pt>
                <c:pt idx="37">
                  <c:v>6.3598195226018319</c:v>
                </c:pt>
                <c:pt idx="38">
                  <c:v>6.6858944422792685</c:v>
                </c:pt>
                <c:pt idx="39">
                  <c:v>7.0286875805892928</c:v>
                </c:pt>
                <c:pt idx="40">
                  <c:v>7.3890560989306504</c:v>
                </c:pt>
                <c:pt idx="41">
                  <c:v>7.7679011063067707</c:v>
                </c:pt>
                <c:pt idx="42">
                  <c:v>8.1661699125676517</c:v>
                </c:pt>
                <c:pt idx="43">
                  <c:v>8.5848583971778929</c:v>
                </c:pt>
                <c:pt idx="44">
                  <c:v>9.025013499434122</c:v>
                </c:pt>
                <c:pt idx="45">
                  <c:v>9.4877358363585262</c:v>
                </c:pt>
                <c:pt idx="46">
                  <c:v>9.9741824548147182</c:v>
                </c:pt>
                <c:pt idx="47">
                  <c:v>10.485569724727576</c:v>
                </c:pt>
                <c:pt idx="48">
                  <c:v>11.023176380641601</c:v>
                </c:pt>
                <c:pt idx="49">
                  <c:v>11.588346719223392</c:v>
                </c:pt>
                <c:pt idx="50">
                  <c:v>12.182493960703473</c:v>
                </c:pt>
                <c:pt idx="51">
                  <c:v>12.807103782663029</c:v>
                </c:pt>
                <c:pt idx="52">
                  <c:v>13.463738035001692</c:v>
                </c:pt>
                <c:pt idx="53">
                  <c:v>14.154038645375801</c:v>
                </c:pt>
                <c:pt idx="54">
                  <c:v>14.879731724872837</c:v>
                </c:pt>
                <c:pt idx="55">
                  <c:v>15.642631884188171</c:v>
                </c:pt>
                <c:pt idx="56">
                  <c:v>16.444646771097048</c:v>
                </c:pt>
                <c:pt idx="57">
                  <c:v>17.287781840567639</c:v>
                </c:pt>
                <c:pt idx="58">
                  <c:v>18.17414536944306</c:v>
                </c:pt>
                <c:pt idx="59">
                  <c:v>19.105953728231651</c:v>
                </c:pt>
                <c:pt idx="60">
                  <c:v>20.085536923187668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E0-4C16-B61F-E7B561AF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586552"/>
        <c:axId val="848585272"/>
      </c:scatterChart>
      <c:valAx>
        <c:axId val="848586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585272"/>
        <c:crosses val="autoZero"/>
        <c:crossBetween val="midCat"/>
      </c:valAx>
      <c:valAx>
        <c:axId val="84858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8586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7.png"/><Relationship Id="rId7" Type="http://schemas.openxmlformats.org/officeDocument/2006/relationships/chart" Target="../charts/chart4.xml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chart" Target="../charts/chart3.xml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16808</xdr:colOff>
      <xdr:row>1</xdr:row>
      <xdr:rowOff>11205</xdr:rowOff>
    </xdr:from>
    <xdr:to>
      <xdr:col>27</xdr:col>
      <xdr:colOff>593912</xdr:colOff>
      <xdr:row>21</xdr:row>
      <xdr:rowOff>179293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75E8178-FD5D-2A49-759C-44D114B0E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21876</xdr:colOff>
      <xdr:row>32</xdr:row>
      <xdr:rowOff>7126</xdr:rowOff>
    </xdr:from>
    <xdr:to>
      <xdr:col>28</xdr:col>
      <xdr:colOff>36755</xdr:colOff>
      <xdr:row>55</xdr:row>
      <xdr:rowOff>27608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A689A9C-5DEC-27B0-610C-A89FDE523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665019</xdr:colOff>
      <xdr:row>28</xdr:row>
      <xdr:rowOff>41563</xdr:rowOff>
    </xdr:from>
    <xdr:to>
      <xdr:col>12</xdr:col>
      <xdr:colOff>260693</xdr:colOff>
      <xdr:row>34</xdr:row>
      <xdr:rowOff>138652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4CE1209C-3AC3-6F77-2455-3C248BCBE4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9742"/>
        <a:stretch/>
      </xdr:blipFill>
      <xdr:spPr>
        <a:xfrm>
          <a:off x="7966364" y="5389418"/>
          <a:ext cx="3336402" cy="1177743"/>
        </a:xfrm>
        <a:prstGeom prst="rect">
          <a:avLst/>
        </a:prstGeom>
      </xdr:spPr>
    </xdr:pic>
    <xdr:clientData/>
  </xdr:twoCellAnchor>
  <xdr:twoCellAnchor>
    <xdr:from>
      <xdr:col>8</xdr:col>
      <xdr:colOff>446439</xdr:colOff>
      <xdr:row>37</xdr:row>
      <xdr:rowOff>41560</xdr:rowOff>
    </xdr:from>
    <xdr:to>
      <xdr:col>12</xdr:col>
      <xdr:colOff>583098</xdr:colOff>
      <xdr:row>39</xdr:row>
      <xdr:rowOff>193959</xdr:rowOff>
    </xdr:to>
    <xdr:grpSp>
      <xdr:nvGrpSpPr>
        <xdr:cNvPr id="3" name="Группа 2">
          <a:extLst>
            <a:ext uri="{FF2B5EF4-FFF2-40B4-BE49-F238E27FC236}">
              <a16:creationId xmlns:a16="http://schemas.microsoft.com/office/drawing/2014/main" id="{93E6E129-B601-4E0A-B763-891F62F8B55D}"/>
            </a:ext>
          </a:extLst>
        </xdr:cNvPr>
        <xdr:cNvGrpSpPr/>
      </xdr:nvGrpSpPr>
      <xdr:grpSpPr>
        <a:xfrm>
          <a:off x="7747784" y="7010396"/>
          <a:ext cx="3877387" cy="504998"/>
          <a:chOff x="7769584" y="7952247"/>
          <a:chExt cx="3897151" cy="522374"/>
        </a:xfrm>
      </xdr:grpSpPr>
      <xdr:pic>
        <xdr:nvPicPr>
          <xdr:cNvPr id="9" name="Рисунок 8">
            <a:extLst>
              <a:ext uri="{FF2B5EF4-FFF2-40B4-BE49-F238E27FC236}">
                <a16:creationId xmlns:a16="http://schemas.microsoft.com/office/drawing/2014/main" id="{F0E1D41B-F096-ECC3-DFA0-D6193B43AA3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10387" t="-6380" b="-1"/>
          <a:stretch/>
        </xdr:blipFill>
        <xdr:spPr>
          <a:xfrm>
            <a:off x="7822175" y="7952247"/>
            <a:ext cx="3844560" cy="235403"/>
          </a:xfrm>
          <a:prstGeom prst="rect">
            <a:avLst/>
          </a:prstGeom>
          <a:ln w="12700">
            <a:noFill/>
          </a:ln>
        </xdr:spPr>
      </xdr:pic>
      <xdr:grpSp>
        <xdr:nvGrpSpPr>
          <xdr:cNvPr id="2" name="Группа 1">
            <a:extLst>
              <a:ext uri="{FF2B5EF4-FFF2-40B4-BE49-F238E27FC236}">
                <a16:creationId xmlns:a16="http://schemas.microsoft.com/office/drawing/2014/main" id="{9EFB370E-1D38-472B-8671-53440BBB78F8}"/>
              </a:ext>
            </a:extLst>
          </xdr:cNvPr>
          <xdr:cNvGrpSpPr/>
        </xdr:nvGrpSpPr>
        <xdr:grpSpPr>
          <a:xfrm>
            <a:off x="7769584" y="8238187"/>
            <a:ext cx="3862288" cy="236434"/>
            <a:chOff x="7977403" y="8917060"/>
            <a:chExt cx="3862288" cy="236434"/>
          </a:xfrm>
        </xdr:grpSpPr>
        <xdr:pic>
          <xdr:nvPicPr>
            <xdr:cNvPr id="10" name="Рисунок 9">
              <a:extLst>
                <a:ext uri="{FF2B5EF4-FFF2-40B4-BE49-F238E27FC236}">
                  <a16:creationId xmlns:a16="http://schemas.microsoft.com/office/drawing/2014/main" id="{A0FC6566-75AF-1E0B-286E-CCFFDFC1C0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977403" y="8956206"/>
              <a:ext cx="1541198" cy="197288"/>
            </a:xfrm>
            <a:prstGeom prst="rect">
              <a:avLst/>
            </a:prstGeom>
          </xdr:spPr>
        </xdr:pic>
        <xdr:pic>
          <xdr:nvPicPr>
            <xdr:cNvPr id="11" name="Рисунок 10">
              <a:extLst>
                <a:ext uri="{FF2B5EF4-FFF2-40B4-BE49-F238E27FC236}">
                  <a16:creationId xmlns:a16="http://schemas.microsoft.com/office/drawing/2014/main" id="{8312A64A-49DC-97F7-3C62-C58FEC63A78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548812" y="8917060"/>
              <a:ext cx="2290879" cy="205874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324556</xdr:colOff>
      <xdr:row>50</xdr:row>
      <xdr:rowOff>42333</xdr:rowOff>
    </xdr:from>
    <xdr:to>
      <xdr:col>15</xdr:col>
      <xdr:colOff>450513</xdr:colOff>
      <xdr:row>52</xdr:row>
      <xdr:rowOff>72919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C882406-6AD3-0F1C-1AF1-EDA452E458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655" t="75167"/>
        <a:stretch/>
      </xdr:blipFill>
      <xdr:spPr>
        <a:xfrm>
          <a:off x="9256889" y="9271000"/>
          <a:ext cx="3286846" cy="397475"/>
        </a:xfrm>
        <a:prstGeom prst="rect">
          <a:avLst/>
        </a:prstGeom>
      </xdr:spPr>
    </xdr:pic>
    <xdr:clientData/>
  </xdr:twoCellAnchor>
  <xdr:twoCellAnchor editAs="oneCell">
    <xdr:from>
      <xdr:col>11</xdr:col>
      <xdr:colOff>43296</xdr:colOff>
      <xdr:row>56</xdr:row>
      <xdr:rowOff>21648</xdr:rowOff>
    </xdr:from>
    <xdr:to>
      <xdr:col>13</xdr:col>
      <xdr:colOff>242693</xdr:colOff>
      <xdr:row>57</xdr:row>
      <xdr:rowOff>160239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91CBE14-FBE5-5159-91AE-4255F5B23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77671" y="13270057"/>
          <a:ext cx="1714739" cy="333422"/>
        </a:xfrm>
        <a:prstGeom prst="rect">
          <a:avLst/>
        </a:prstGeom>
      </xdr:spPr>
    </xdr:pic>
    <xdr:clientData/>
  </xdr:twoCellAnchor>
  <xdr:twoCellAnchor editAs="oneCell">
    <xdr:from>
      <xdr:col>11</xdr:col>
      <xdr:colOff>43296</xdr:colOff>
      <xdr:row>57</xdr:row>
      <xdr:rowOff>140710</xdr:rowOff>
    </xdr:from>
    <xdr:to>
      <xdr:col>12</xdr:col>
      <xdr:colOff>514522</xdr:colOff>
      <xdr:row>59</xdr:row>
      <xdr:rowOff>65420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94AD6EDE-C3D7-EC86-4ABF-3737292D4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77671" y="13583949"/>
          <a:ext cx="1228896" cy="314369"/>
        </a:xfrm>
        <a:prstGeom prst="rect">
          <a:avLst/>
        </a:prstGeom>
      </xdr:spPr>
    </xdr:pic>
    <xdr:clientData/>
  </xdr:twoCellAnchor>
  <xdr:twoCellAnchor editAs="oneCell">
    <xdr:from>
      <xdr:col>12</xdr:col>
      <xdr:colOff>259773</xdr:colOff>
      <xdr:row>57</xdr:row>
      <xdr:rowOff>162357</xdr:rowOff>
    </xdr:from>
    <xdr:to>
      <xdr:col>13</xdr:col>
      <xdr:colOff>359471</xdr:colOff>
      <xdr:row>59</xdr:row>
      <xdr:rowOff>77541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56FBC127-0652-622B-AFC1-B9413E0F2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51818" y="13605596"/>
          <a:ext cx="857370" cy="304843"/>
        </a:xfrm>
        <a:prstGeom prst="rect">
          <a:avLst/>
        </a:prstGeom>
      </xdr:spPr>
    </xdr:pic>
    <xdr:clientData/>
  </xdr:twoCellAnchor>
  <xdr:twoCellAnchor editAs="oneCell">
    <xdr:from>
      <xdr:col>11</xdr:col>
      <xdr:colOff>32472</xdr:colOff>
      <xdr:row>59</xdr:row>
      <xdr:rowOff>86591</xdr:rowOff>
    </xdr:from>
    <xdr:to>
      <xdr:col>14</xdr:col>
      <xdr:colOff>350623</xdr:colOff>
      <xdr:row>61</xdr:row>
      <xdr:rowOff>506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8825A90-ABF3-3C4B-927F-09DCDFEA5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66847" y="13919489"/>
          <a:ext cx="2591162" cy="295316"/>
        </a:xfrm>
        <a:prstGeom prst="rect">
          <a:avLst/>
        </a:prstGeom>
      </xdr:spPr>
    </xdr:pic>
    <xdr:clientData/>
  </xdr:twoCellAnchor>
  <xdr:twoCellAnchor>
    <xdr:from>
      <xdr:col>24</xdr:col>
      <xdr:colOff>13990</xdr:colOff>
      <xdr:row>0</xdr:row>
      <xdr:rowOff>0</xdr:rowOff>
    </xdr:from>
    <xdr:to>
      <xdr:col>43</xdr:col>
      <xdr:colOff>0</xdr:colOff>
      <xdr:row>35</xdr:row>
      <xdr:rowOff>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CB255FC5-FEC8-C707-A72E-620EAF6D3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592246</xdr:colOff>
      <xdr:row>45</xdr:row>
      <xdr:rowOff>185836</xdr:rowOff>
    </xdr:from>
    <xdr:to>
      <xdr:col>42</xdr:col>
      <xdr:colOff>590282</xdr:colOff>
      <xdr:row>79</xdr:row>
      <xdr:rowOff>174401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A0C2CD58-F68E-5349-D255-91A5915DB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567594</xdr:colOff>
      <xdr:row>94</xdr:row>
      <xdr:rowOff>20802</xdr:rowOff>
    </xdr:from>
    <xdr:to>
      <xdr:col>42</xdr:col>
      <xdr:colOff>588817</xdr:colOff>
      <xdr:row>127</xdr:row>
      <xdr:rowOff>173181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F81820C6-72D2-342B-4115-06CB5C344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zoomScale="55" zoomScaleNormal="55" workbookViewId="0">
      <selection activeCell="N33" sqref="N33"/>
    </sheetView>
  </sheetViews>
  <sheetFormatPr defaultRowHeight="14.4" x14ac:dyDescent="0.3"/>
  <cols>
    <col min="1" max="1" width="11.44140625" style="1" customWidth="1"/>
    <col min="2" max="7" width="14.33203125" style="1" customWidth="1"/>
    <col min="9" max="9" width="11.44140625" style="1" customWidth="1"/>
    <col min="10" max="15" width="14.33203125" style="1" customWidth="1"/>
  </cols>
  <sheetData>
    <row r="1" spans="1:15" ht="15" thickBot="1" x14ac:dyDescent="0.35"/>
    <row r="2" spans="1:15" ht="22.5" customHeight="1" x14ac:dyDescent="0.3">
      <c r="A2" s="61" t="s">
        <v>8</v>
      </c>
      <c r="B2" s="87" t="s">
        <v>28</v>
      </c>
      <c r="C2" s="87"/>
      <c r="D2" s="89" t="s">
        <v>7</v>
      </c>
      <c r="E2" s="89"/>
      <c r="F2" s="91" t="s">
        <v>9</v>
      </c>
      <c r="G2" s="92"/>
      <c r="I2" s="61" t="s">
        <v>8</v>
      </c>
      <c r="J2" s="87" t="s">
        <v>29</v>
      </c>
      <c r="K2" s="87"/>
      <c r="L2" s="89" t="s">
        <v>7</v>
      </c>
      <c r="M2" s="89"/>
      <c r="N2" s="91" t="s">
        <v>9</v>
      </c>
      <c r="O2" s="92"/>
    </row>
    <row r="3" spans="1:15" ht="22.5" customHeight="1" thickBot="1" x14ac:dyDescent="0.35">
      <c r="A3" s="62"/>
      <c r="B3" s="88"/>
      <c r="C3" s="88"/>
      <c r="D3" s="90"/>
      <c r="E3" s="90"/>
      <c r="F3" s="93"/>
      <c r="G3" s="94"/>
      <c r="I3" s="62"/>
      <c r="J3" s="88"/>
      <c r="K3" s="88"/>
      <c r="L3" s="90"/>
      <c r="M3" s="90"/>
      <c r="N3" s="93"/>
      <c r="O3" s="94"/>
    </row>
    <row r="4" spans="1:15" ht="22.5" customHeight="1" x14ac:dyDescent="0.3">
      <c r="A4" s="95" t="s">
        <v>0</v>
      </c>
      <c r="B4" s="96" t="s">
        <v>1</v>
      </c>
      <c r="C4" s="96" t="s">
        <v>2</v>
      </c>
      <c r="D4" s="96" t="s">
        <v>3</v>
      </c>
      <c r="E4" s="96" t="s">
        <v>4</v>
      </c>
      <c r="F4" s="96" t="s">
        <v>5</v>
      </c>
      <c r="G4" s="97" t="s">
        <v>6</v>
      </c>
      <c r="I4" s="95" t="s">
        <v>0</v>
      </c>
      <c r="J4" s="96" t="s">
        <v>1</v>
      </c>
      <c r="K4" s="96" t="s">
        <v>2</v>
      </c>
      <c r="L4" s="96" t="s">
        <v>3</v>
      </c>
      <c r="M4" s="96" t="s">
        <v>4</v>
      </c>
      <c r="N4" s="96" t="s">
        <v>5</v>
      </c>
      <c r="O4" s="97" t="s">
        <v>6</v>
      </c>
    </row>
    <row r="5" spans="1:15" x14ac:dyDescent="0.3">
      <c r="A5" s="40">
        <v>0</v>
      </c>
      <c r="B5" s="45">
        <v>3.87765</v>
      </c>
      <c r="C5" s="46">
        <v>5.6630500000000001</v>
      </c>
      <c r="D5" s="86">
        <f>$I$23*EXP(A5)+2*$J$23*EXP(2*A5)-EXP(A5)*LN(EXP(2*A5)+1)+2*EXP(2*A5)*ATAN(EXP(A5))</f>
        <v>3.8776491462349512</v>
      </c>
      <c r="E5" s="86">
        <f>$I$23*EXP(A5)+3*$J$23*EXP(2*A5)-EXP(A5)*LN(EXP(2*A5)+1)+3*EXP(2*A5)*ATAN(EXP(A5))</f>
        <v>5.6630473096323994</v>
      </c>
      <c r="F5" s="84">
        <f>ABS(B5-D5)</f>
        <v>8.5376504888046156E-7</v>
      </c>
      <c r="G5" s="85">
        <f>ABS(C5-E5)</f>
        <v>2.690367600699517E-6</v>
      </c>
      <c r="H5" s="8"/>
      <c r="I5" s="40">
        <v>0</v>
      </c>
      <c r="J5" s="45">
        <v>3.87765</v>
      </c>
      <c r="K5" s="46">
        <v>5.6630500000000001</v>
      </c>
      <c r="L5" s="86">
        <f>$I$23*EXP(I5)+2*$J$23*EXP(2*I5)-EXP(I5)*LN(EXP(2*I5)+1)+2*EXP(2*I5)*ATAN(EXP(I5))</f>
        <v>3.8776491462349512</v>
      </c>
      <c r="M5" s="86">
        <f>$I$23*EXP(I5)+3*$J$23*EXP(2*I5)-EXP(I5)*LN(EXP(2*I5)+1)+3*EXP(2*I5)*ATAN(EXP(I5))</f>
        <v>5.6630473096323994</v>
      </c>
      <c r="N5" s="84">
        <f>ABS(J5-L5)</f>
        <v>8.5376504888046156E-7</v>
      </c>
      <c r="O5" s="85">
        <f>ABS(K5-M5)</f>
        <v>2.690367600699517E-6</v>
      </c>
    </row>
    <row r="6" spans="1:15" x14ac:dyDescent="0.3">
      <c r="A6" s="41">
        <v>0.1</v>
      </c>
      <c r="B6" s="37">
        <v>4.7004450000000002</v>
      </c>
      <c r="C6" s="47">
        <v>6.9388230000000002</v>
      </c>
      <c r="D6" s="8">
        <f t="shared" ref="D6:D35" si="0">$I$23*EXP(A6)+2*$J$23*EXP(2*A6)-EXP(A6)*LN(EXP(2*A6)+1)+2*EXP(2*A6)*ATAN(EXP(A6))</f>
        <v>4.7064087495586584</v>
      </c>
      <c r="E6" s="8">
        <f t="shared" ref="E6:E35" si="1">$I$23*EXP(A6)+3*$J$23*EXP(2*A6)-EXP(A6)*LN(EXP(2*A6)+1)+3*EXP(2*A6)*ATAN(EXP(A6))</f>
        <v>6.9480675988133216</v>
      </c>
      <c r="F6" s="55">
        <f t="shared" ref="F6:G35" si="2">ABS(B6-D6)</f>
        <v>5.9637495586581935E-3</v>
      </c>
      <c r="G6" s="56">
        <f t="shared" si="2"/>
        <v>9.244598813321403E-3</v>
      </c>
      <c r="H6" s="8"/>
      <c r="I6" s="41">
        <v>0.2</v>
      </c>
      <c r="J6" s="37">
        <v>5.6791410000000004</v>
      </c>
      <c r="K6" s="47">
        <v>8.4630650000000003</v>
      </c>
      <c r="L6" s="8">
        <f>$I$23*EXP(I6)+2*$J$23*EXP(2*I6)-EXP(I6)*LN(EXP(2*I6)+1)+2*EXP(2*I6)*ATAN(EXP(I6))</f>
        <v>5.7296410638859534</v>
      </c>
      <c r="M6" s="8">
        <f t="shared" ref="M6:M20" si="3">$I$23*EXP(I6)+3*$J$23*EXP(2*I6)-EXP(I6)*LN(EXP(2*I6)+1)+3*EXP(2*I6)*ATAN(EXP(I6))</f>
        <v>8.5413398905106472</v>
      </c>
      <c r="N6" s="55">
        <f t="shared" ref="N6:O20" si="4">ABS(J6-L6)</f>
        <v>5.0500063885952962E-2</v>
      </c>
      <c r="O6" s="56">
        <f t="shared" si="4"/>
        <v>7.8274890510646955E-2</v>
      </c>
    </row>
    <row r="7" spans="1:15" x14ac:dyDescent="0.3">
      <c r="A7" s="41">
        <v>0.2</v>
      </c>
      <c r="B7" s="37">
        <v>5.7148950000000003</v>
      </c>
      <c r="C7" s="47">
        <v>8.5185329999999997</v>
      </c>
      <c r="D7" s="8">
        <f t="shared" si="0"/>
        <v>5.7296410638859534</v>
      </c>
      <c r="E7" s="8">
        <f t="shared" si="1"/>
        <v>8.5413398905106472</v>
      </c>
      <c r="F7" s="55">
        <f t="shared" si="2"/>
        <v>1.474606388595312E-2</v>
      </c>
      <c r="G7" s="56">
        <f t="shared" si="2"/>
        <v>2.2806890510647548E-2</v>
      </c>
      <c r="H7" s="6"/>
      <c r="I7" s="41">
        <v>0.4</v>
      </c>
      <c r="J7" s="37">
        <v>8.4054420000000007</v>
      </c>
      <c r="K7" s="47">
        <v>12.729208</v>
      </c>
      <c r="L7" s="8">
        <f t="shared" ref="L6:L20" si="5">$I$23*EXP(I7)+2*$J$23*EXP(2*I7)-EXP(I7)*LN(EXP(2*I7)+1)+2*EXP(2*I7)*ATAN(EXP(I7))</f>
        <v>8.5590859882113719</v>
      </c>
      <c r="M7" s="8">
        <f t="shared" si="3"/>
        <v>12.966255081938939</v>
      </c>
      <c r="N7" s="55">
        <f t="shared" si="4"/>
        <v>0.15364398821137115</v>
      </c>
      <c r="O7" s="56">
        <f t="shared" si="4"/>
        <v>0.23704708193893964</v>
      </c>
    </row>
    <row r="8" spans="1:15" x14ac:dyDescent="0.3">
      <c r="A8" s="41">
        <v>0.3</v>
      </c>
      <c r="B8" s="37">
        <v>6.9671089999999998</v>
      </c>
      <c r="C8" s="47">
        <v>10.474785000000001</v>
      </c>
      <c r="D8" s="8">
        <f t="shared" si="0"/>
        <v>6.9944275841590962</v>
      </c>
      <c r="E8" s="8">
        <f t="shared" si="1"/>
        <v>10.516943096309317</v>
      </c>
      <c r="F8" s="55">
        <f t="shared" si="2"/>
        <v>2.7318584159096382E-2</v>
      </c>
      <c r="G8" s="56">
        <f t="shared" si="2"/>
        <v>4.2158096309316662E-2</v>
      </c>
      <c r="I8" s="41">
        <v>0.6</v>
      </c>
      <c r="J8" s="37">
        <v>12.544171</v>
      </c>
      <c r="K8" s="47">
        <v>19.225580000000001</v>
      </c>
      <c r="L8" s="8">
        <f t="shared" si="5"/>
        <v>12.893597977410824</v>
      </c>
      <c r="M8" s="8">
        <f t="shared" si="3"/>
        <v>19.762474812930201</v>
      </c>
      <c r="N8" s="55">
        <f t="shared" si="4"/>
        <v>0.34942697741082362</v>
      </c>
      <c r="O8" s="56">
        <f t="shared" si="4"/>
        <v>0.53689481293019981</v>
      </c>
    </row>
    <row r="9" spans="1:15" x14ac:dyDescent="0.3">
      <c r="A9" s="41">
        <v>0.4</v>
      </c>
      <c r="B9" s="37">
        <v>8.5141360000000006</v>
      </c>
      <c r="C9" s="47">
        <v>12.897036</v>
      </c>
      <c r="D9" s="8">
        <f t="shared" si="0"/>
        <v>8.5590859882113719</v>
      </c>
      <c r="E9" s="8">
        <f t="shared" si="1"/>
        <v>12.966255081938939</v>
      </c>
      <c r="F9" s="55">
        <f t="shared" si="2"/>
        <v>4.4949988211371306E-2</v>
      </c>
      <c r="G9" s="56">
        <f t="shared" si="2"/>
        <v>6.9219081938939553E-2</v>
      </c>
      <c r="I9" s="41">
        <v>0.8</v>
      </c>
      <c r="J9" s="37">
        <v>18.834235</v>
      </c>
      <c r="K9" s="47">
        <v>29.101814000000001</v>
      </c>
      <c r="L9" s="8">
        <f t="shared" si="5"/>
        <v>19.538582838594429</v>
      </c>
      <c r="M9" s="8">
        <f t="shared" si="3"/>
        <v>30.18017584925293</v>
      </c>
      <c r="N9" s="55">
        <f t="shared" si="4"/>
        <v>0.70434783859442973</v>
      </c>
      <c r="O9" s="56">
        <f t="shared" si="4"/>
        <v>1.0783618492529286</v>
      </c>
    </row>
    <row r="10" spans="1:15" x14ac:dyDescent="0.3">
      <c r="A10" s="41">
        <v>0.5</v>
      </c>
      <c r="B10" s="37">
        <v>10.42648</v>
      </c>
      <c r="C10" s="47">
        <v>15.895410999999999</v>
      </c>
      <c r="D10" s="8">
        <f t="shared" si="0"/>
        <v>10.495760718892928</v>
      </c>
      <c r="E10" s="8">
        <f t="shared" si="1"/>
        <v>16.001881682092744</v>
      </c>
      <c r="F10" s="55">
        <f t="shared" si="2"/>
        <v>6.9280718892928306E-2</v>
      </c>
      <c r="G10" s="56">
        <f t="shared" si="2"/>
        <v>0.10647068209274479</v>
      </c>
      <c r="I10" s="41">
        <v>1</v>
      </c>
      <c r="J10" s="37">
        <v>28.390975000000001</v>
      </c>
      <c r="K10" s="47">
        <v>44.083201000000003</v>
      </c>
      <c r="L10" s="8">
        <f t="shared" si="5"/>
        <v>29.718725722543425</v>
      </c>
      <c r="M10" s="8">
        <f t="shared" si="3"/>
        <v>46.109742551014939</v>
      </c>
      <c r="N10" s="55">
        <f t="shared" si="4"/>
        <v>1.3277507225434242</v>
      </c>
      <c r="O10" s="56">
        <f t="shared" si="4"/>
        <v>2.0265415510149367</v>
      </c>
    </row>
    <row r="11" spans="1:15" x14ac:dyDescent="0.3">
      <c r="A11" s="41">
        <v>0.6</v>
      </c>
      <c r="B11" s="37">
        <v>12.791168000000001</v>
      </c>
      <c r="C11" s="47">
        <v>19.605356</v>
      </c>
      <c r="D11" s="8">
        <f t="shared" si="0"/>
        <v>12.893597977410824</v>
      </c>
      <c r="E11" s="8">
        <f t="shared" si="1"/>
        <v>19.762474812930201</v>
      </c>
      <c r="F11" s="55">
        <f t="shared" si="2"/>
        <v>0.10242997741082327</v>
      </c>
      <c r="G11" s="56">
        <f t="shared" si="2"/>
        <v>0.15711881293020014</v>
      </c>
      <c r="I11" s="41">
        <v>1.2</v>
      </c>
      <c r="J11" s="37">
        <v>42.892718000000002</v>
      </c>
      <c r="K11" s="47">
        <v>66.753882000000004</v>
      </c>
      <c r="L11" s="8">
        <f t="shared" si="5"/>
        <v>45.290507324062247</v>
      </c>
      <c r="M11" s="8">
        <f t="shared" si="3"/>
        <v>70.403995921144769</v>
      </c>
      <c r="N11" s="55">
        <f t="shared" si="4"/>
        <v>2.397789324062245</v>
      </c>
      <c r="O11" s="56">
        <f t="shared" si="4"/>
        <v>3.6501139211447651</v>
      </c>
    </row>
    <row r="12" spans="1:15" x14ac:dyDescent="0.3">
      <c r="A12" s="41">
        <v>0.7</v>
      </c>
      <c r="B12" s="37">
        <v>15.715507000000001</v>
      </c>
      <c r="C12" s="47">
        <v>24.193349999999999</v>
      </c>
      <c r="D12" s="8">
        <f t="shared" si="0"/>
        <v>15.86263747157501</v>
      </c>
      <c r="E12" s="8">
        <f t="shared" si="1"/>
        <v>24.418639826855063</v>
      </c>
      <c r="F12" s="55">
        <f t="shared" si="2"/>
        <v>0.14713047157500903</v>
      </c>
      <c r="G12" s="56">
        <f t="shared" si="2"/>
        <v>0.22528982685506449</v>
      </c>
      <c r="I12" s="41">
        <v>1.4</v>
      </c>
      <c r="J12" s="37">
        <v>64.858680000000007</v>
      </c>
      <c r="K12" s="47">
        <v>100.978084</v>
      </c>
      <c r="L12" s="8">
        <f>$I$23*EXP(I12)+2*$J$23*EXP(2*I12)-EXP(I12)*LN(EXP(2*I12)+1)+2*EXP(2*I12)*ATAN(EXP(I12))</f>
        <v>69.061173783420998</v>
      </c>
      <c r="M12" s="8">
        <f>$I$23*EXP(I12)+3*$J$23*EXP(2*I12)-EXP(I12)*LN(EXP(2*I12)+1)+3*EXP(2*I12)*ATAN(EXP(I12))</f>
        <v>107.36113560289455</v>
      </c>
      <c r="N12" s="55">
        <f t="shared" si="4"/>
        <v>4.2024937834209908</v>
      </c>
      <c r="O12" s="56">
        <f t="shared" si="4"/>
        <v>6.3830516028945539</v>
      </c>
    </row>
    <row r="13" spans="1:15" x14ac:dyDescent="0.3">
      <c r="A13" s="41">
        <v>0.8</v>
      </c>
      <c r="B13" s="37">
        <v>19.331693999999999</v>
      </c>
      <c r="C13" s="47">
        <v>29.863896</v>
      </c>
      <c r="D13" s="8">
        <f t="shared" si="0"/>
        <v>19.538582838594429</v>
      </c>
      <c r="E13" s="8">
        <f t="shared" si="1"/>
        <v>30.18017584925293</v>
      </c>
      <c r="F13" s="55">
        <f t="shared" si="2"/>
        <v>0.20688883859443052</v>
      </c>
      <c r="G13" s="56">
        <f t="shared" si="2"/>
        <v>0.31627984925292907</v>
      </c>
      <c r="I13" s="41">
        <v>1.6</v>
      </c>
      <c r="J13" s="37">
        <v>98.062589000000003</v>
      </c>
      <c r="K13" s="47">
        <v>152.52604600000001</v>
      </c>
      <c r="L13" s="8">
        <f t="shared" si="5"/>
        <v>105.26704938391737</v>
      </c>
      <c r="M13" s="8">
        <f t="shared" si="3"/>
        <v>163.44785482001876</v>
      </c>
      <c r="N13" s="55">
        <f t="shared" si="4"/>
        <v>7.2044603839173647</v>
      </c>
      <c r="O13" s="56">
        <f t="shared" si="4"/>
        <v>10.921808820018754</v>
      </c>
    </row>
    <row r="14" spans="1:15" x14ac:dyDescent="0.3">
      <c r="A14" s="41">
        <v>0.9</v>
      </c>
      <c r="B14" s="37">
        <v>23.802444999999999</v>
      </c>
      <c r="C14" s="47">
        <v>36.868074</v>
      </c>
      <c r="D14" s="8">
        <f t="shared" si="0"/>
        <v>24.088648642880788</v>
      </c>
      <c r="E14" s="8">
        <f t="shared" si="1"/>
        <v>37.304946312177613</v>
      </c>
      <c r="F14" s="55">
        <f t="shared" si="2"/>
        <v>0.28620364288078903</v>
      </c>
      <c r="G14" s="56">
        <f t="shared" si="2"/>
        <v>0.4368723121776128</v>
      </c>
      <c r="I14" s="41">
        <v>1.8</v>
      </c>
      <c r="J14" s="37">
        <v>148.147718</v>
      </c>
      <c r="K14" s="47">
        <v>230.00342699999999</v>
      </c>
      <c r="L14" s="8">
        <f t="shared" si="5"/>
        <v>160.29018125772535</v>
      </c>
      <c r="M14" s="8">
        <f t="shared" si="3"/>
        <v>248.38135404500738</v>
      </c>
      <c r="N14" s="55">
        <f t="shared" si="4"/>
        <v>12.142463257725353</v>
      </c>
      <c r="O14" s="56">
        <f t="shared" si="4"/>
        <v>18.377927045007397</v>
      </c>
    </row>
    <row r="15" spans="1:15" x14ac:dyDescent="0.3">
      <c r="A15" s="41">
        <v>1</v>
      </c>
      <c r="B15" s="37">
        <v>29.327902999999999</v>
      </c>
      <c r="C15" s="47">
        <v>45.514006999999999</v>
      </c>
      <c r="D15" s="8">
        <f t="shared" si="0"/>
        <v>29.718725722543425</v>
      </c>
      <c r="E15" s="8">
        <f t="shared" si="1"/>
        <v>46.109742551014939</v>
      </c>
      <c r="F15" s="55">
        <f t="shared" si="2"/>
        <v>0.39082272254342598</v>
      </c>
      <c r="G15" s="56">
        <f t="shared" si="2"/>
        <v>0.5957355510149398</v>
      </c>
      <c r="I15" s="41">
        <v>2</v>
      </c>
      <c r="J15" s="37">
        <v>223.54073500000001</v>
      </c>
      <c r="K15" s="47">
        <v>346.23065400000002</v>
      </c>
      <c r="L15" s="8">
        <f t="shared" si="5"/>
        <v>243.73130059041651</v>
      </c>
      <c r="M15" s="8">
        <f t="shared" si="3"/>
        <v>376.74759045180883</v>
      </c>
      <c r="N15" s="55">
        <f t="shared" si="4"/>
        <v>20.190565590416497</v>
      </c>
      <c r="O15" s="56">
        <f t="shared" si="4"/>
        <v>30.516936451808817</v>
      </c>
    </row>
    <row r="16" spans="1:15" x14ac:dyDescent="0.3">
      <c r="A16" s="41">
        <v>1.1000000000000001</v>
      </c>
      <c r="B16" s="37">
        <v>36.15408</v>
      </c>
      <c r="C16" s="47">
        <v>56.179656999999999</v>
      </c>
      <c r="D16" s="8">
        <f t="shared" si="0"/>
        <v>36.682160243423887</v>
      </c>
      <c r="E16" s="8">
        <f t="shared" si="1"/>
        <v>56.983583848969992</v>
      </c>
      <c r="F16" s="55">
        <f t="shared" si="2"/>
        <v>0.52808024342388649</v>
      </c>
      <c r="G16" s="56">
        <f t="shared" si="2"/>
        <v>0.80392684896999356</v>
      </c>
      <c r="I16" s="41">
        <v>2.2000000000000002</v>
      </c>
      <c r="J16" s="37">
        <v>336.80870099999999</v>
      </c>
      <c r="K16" s="47">
        <v>520.289132</v>
      </c>
      <c r="L16" s="8">
        <f t="shared" si="5"/>
        <v>370.01531592037747</v>
      </c>
      <c r="M16" s="8">
        <f t="shared" si="3"/>
        <v>570.42056107501037</v>
      </c>
      <c r="N16" s="55">
        <f t="shared" si="4"/>
        <v>33.20661492037749</v>
      </c>
      <c r="O16" s="56">
        <f t="shared" si="4"/>
        <v>50.131429075010374</v>
      </c>
    </row>
    <row r="17" spans="1:28" x14ac:dyDescent="0.3">
      <c r="A17" s="41">
        <v>1.2</v>
      </c>
      <c r="B17" s="37">
        <v>44.583185999999998</v>
      </c>
      <c r="C17" s="47">
        <v>69.328475999999995</v>
      </c>
      <c r="D17" s="8">
        <f t="shared" si="0"/>
        <v>45.290507324062247</v>
      </c>
      <c r="E17" s="8">
        <f t="shared" si="1"/>
        <v>70.403995921144769</v>
      </c>
      <c r="F17" s="55">
        <f t="shared" si="2"/>
        <v>0.70732132406224935</v>
      </c>
      <c r="G17" s="56">
        <f t="shared" si="2"/>
        <v>1.0755199211447746</v>
      </c>
      <c r="I17" s="41">
        <v>2.4</v>
      </c>
      <c r="J17" s="37">
        <v>506.67306100000002</v>
      </c>
      <c r="K17" s="47">
        <v>780.55570699999998</v>
      </c>
      <c r="L17" s="8">
        <f t="shared" si="5"/>
        <v>560.79248209086757</v>
      </c>
      <c r="M17" s="8">
        <f t="shared" si="3"/>
        <v>862.17793160746896</v>
      </c>
      <c r="N17" s="55">
        <f t="shared" si="4"/>
        <v>54.119421090867547</v>
      </c>
      <c r="O17" s="56">
        <f t="shared" si="4"/>
        <v>81.622224607468979</v>
      </c>
    </row>
    <row r="18" spans="1:28" x14ac:dyDescent="0.3">
      <c r="A18" s="41">
        <v>1.3</v>
      </c>
      <c r="B18" s="37">
        <v>54.986277000000001</v>
      </c>
      <c r="C18" s="47">
        <v>85.528527999999994</v>
      </c>
      <c r="D18" s="8">
        <f t="shared" si="0"/>
        <v>55.926700193500352</v>
      </c>
      <c r="E18" s="8">
        <f t="shared" si="1"/>
        <v>86.956930439090712</v>
      </c>
      <c r="F18" s="55">
        <f t="shared" si="2"/>
        <v>0.94042319350035086</v>
      </c>
      <c r="G18" s="56">
        <f t="shared" si="2"/>
        <v>1.4284024390907177</v>
      </c>
      <c r="I18" s="41">
        <v>2.6</v>
      </c>
      <c r="J18" s="37">
        <v>760.99743799999999</v>
      </c>
      <c r="K18" s="47">
        <v>1169.2012729999999</v>
      </c>
      <c r="L18" s="8">
        <f t="shared" si="5"/>
        <v>848.52813431482264</v>
      </c>
      <c r="M18" s="8">
        <f t="shared" si="3"/>
        <v>1301.1030860762698</v>
      </c>
      <c r="N18" s="55">
        <f t="shared" si="4"/>
        <v>87.530696314822649</v>
      </c>
      <c r="O18" s="56">
        <f t="shared" si="4"/>
        <v>131.90181307626995</v>
      </c>
    </row>
    <row r="19" spans="1:28" x14ac:dyDescent="0.3">
      <c r="A19" s="41">
        <v>1.4</v>
      </c>
      <c r="B19" s="37">
        <v>67.818709999999996</v>
      </c>
      <c r="C19" s="47">
        <v>105.475864</v>
      </c>
      <c r="D19" s="8">
        <f t="shared" si="0"/>
        <v>69.061173783420998</v>
      </c>
      <c r="E19" s="8">
        <f t="shared" si="1"/>
        <v>107.36113560289455</v>
      </c>
      <c r="F19" s="55">
        <f t="shared" si="2"/>
        <v>1.2424637834210017</v>
      </c>
      <c r="G19" s="56">
        <f t="shared" si="2"/>
        <v>1.885271602894548</v>
      </c>
      <c r="I19" s="41">
        <v>2.8</v>
      </c>
      <c r="J19" s="37">
        <v>1141.218464</v>
      </c>
      <c r="K19" s="47">
        <v>1748.858299</v>
      </c>
      <c r="L19" s="8">
        <f t="shared" si="5"/>
        <v>1281.8675134960918</v>
      </c>
      <c r="M19" s="8">
        <f t="shared" si="3"/>
        <v>1960.6543067703469</v>
      </c>
      <c r="N19" s="55">
        <f t="shared" si="4"/>
        <v>140.64904949609172</v>
      </c>
      <c r="O19" s="56">
        <f t="shared" si="4"/>
        <v>211.79600777034693</v>
      </c>
    </row>
    <row r="20" spans="1:28" x14ac:dyDescent="0.3">
      <c r="A20" s="41">
        <v>1.5</v>
      </c>
      <c r="B20" s="37">
        <v>83.639047000000005</v>
      </c>
      <c r="C20" s="47">
        <v>130.02307999999999</v>
      </c>
      <c r="D20" s="8">
        <f t="shared" si="0"/>
        <v>85.271601389388124</v>
      </c>
      <c r="E20" s="8">
        <f t="shared" si="1"/>
        <v>132.49796785567264</v>
      </c>
      <c r="F20" s="55">
        <f t="shared" si="2"/>
        <v>1.6325543893881189</v>
      </c>
      <c r="G20" s="56">
        <f t="shared" si="2"/>
        <v>2.4748878556726481</v>
      </c>
      <c r="I20" s="38">
        <v>3</v>
      </c>
      <c r="J20" s="48">
        <v>1708.9146029999999</v>
      </c>
      <c r="K20" s="39">
        <v>2612.5007799999998</v>
      </c>
      <c r="L20" s="58">
        <f t="shared" si="5"/>
        <v>1933.6511790435056</v>
      </c>
      <c r="M20" s="58">
        <f t="shared" si="3"/>
        <v>2950.7154736058492</v>
      </c>
      <c r="N20" s="57">
        <f t="shared" si="4"/>
        <v>224.73657604350569</v>
      </c>
      <c r="O20" s="59">
        <f t="shared" si="4"/>
        <v>338.21469360584933</v>
      </c>
    </row>
    <row r="21" spans="1:28" x14ac:dyDescent="0.3">
      <c r="A21" s="41">
        <v>1.6</v>
      </c>
      <c r="B21" s="37">
        <v>103.132166</v>
      </c>
      <c r="C21" s="47">
        <v>160.214215</v>
      </c>
      <c r="D21" s="8">
        <f t="shared" si="0"/>
        <v>105.26704938391737</v>
      </c>
      <c r="E21" s="8">
        <f t="shared" si="1"/>
        <v>163.44785482001876</v>
      </c>
      <c r="F21" s="55">
        <f t="shared" si="2"/>
        <v>2.1348833839173693</v>
      </c>
      <c r="G21" s="56">
        <f t="shared" si="2"/>
        <v>3.2336398200187659</v>
      </c>
      <c r="I21"/>
      <c r="J21"/>
      <c r="K21"/>
      <c r="L21"/>
      <c r="M21"/>
      <c r="N21"/>
      <c r="O21"/>
    </row>
    <row r="22" spans="1:28" x14ac:dyDescent="0.3">
      <c r="A22" s="41">
        <v>1.7</v>
      </c>
      <c r="B22" s="37">
        <v>127.137505</v>
      </c>
      <c r="C22" s="47">
        <v>197.327371</v>
      </c>
      <c r="D22" s="8">
        <f t="shared" si="0"/>
        <v>129.91753381379203</v>
      </c>
      <c r="E22" s="8">
        <f t="shared" si="1"/>
        <v>201.53488825078898</v>
      </c>
      <c r="F22" s="55">
        <f t="shared" si="2"/>
        <v>2.780028813792029</v>
      </c>
      <c r="G22" s="56">
        <f t="shared" si="2"/>
        <v>4.2075172507889818</v>
      </c>
      <c r="I22" s="2" t="s">
        <v>16</v>
      </c>
      <c r="J22" s="2" t="s">
        <v>17</v>
      </c>
      <c r="P22" s="1"/>
    </row>
    <row r="23" spans="1:28" x14ac:dyDescent="0.3">
      <c r="A23" s="41">
        <v>1.8</v>
      </c>
      <c r="B23" s="37">
        <v>156.683584</v>
      </c>
      <c r="C23" s="47">
        <v>242.926785</v>
      </c>
      <c r="D23" s="8">
        <f t="shared" si="0"/>
        <v>160.29018125772535</v>
      </c>
      <c r="E23" s="8">
        <f t="shared" si="1"/>
        <v>248.38135404500738</v>
      </c>
      <c r="F23" s="55">
        <f t="shared" si="2"/>
        <v>3.6065972577253547</v>
      </c>
      <c r="G23" s="56">
        <f t="shared" si="2"/>
        <v>5.4545690450073891</v>
      </c>
      <c r="I23" s="5">
        <v>1</v>
      </c>
      <c r="J23" s="5">
        <v>1</v>
      </c>
      <c r="P23" s="1"/>
    </row>
    <row r="24" spans="1:28" x14ac:dyDescent="0.3">
      <c r="A24" s="41">
        <v>1.9</v>
      </c>
      <c r="B24" s="37">
        <v>193.03018399999999</v>
      </c>
      <c r="C24" s="47">
        <v>298.92641400000002</v>
      </c>
      <c r="D24" s="8">
        <f t="shared" si="0"/>
        <v>197.6934633461855</v>
      </c>
      <c r="E24" s="8">
        <f t="shared" si="1"/>
        <v>305.97440732638694</v>
      </c>
      <c r="F24" s="55">
        <f t="shared" si="2"/>
        <v>4.6632793461855044</v>
      </c>
      <c r="G24" s="56">
        <f t="shared" si="2"/>
        <v>7.0479933263869157</v>
      </c>
      <c r="I24" s="4"/>
      <c r="J24" s="4"/>
      <c r="P24" s="1"/>
      <c r="Q24" s="22" t="s">
        <v>18</v>
      </c>
      <c r="R24" s="22"/>
      <c r="S24" s="22" t="s">
        <v>19</v>
      </c>
      <c r="T24" s="22"/>
      <c r="U24" s="22" t="s">
        <v>33</v>
      </c>
      <c r="V24" s="22"/>
      <c r="W24" s="22" t="s">
        <v>34</v>
      </c>
      <c r="X24" s="22"/>
      <c r="Y24" s="22" t="s">
        <v>20</v>
      </c>
      <c r="Z24" s="22"/>
      <c r="AA24" s="22"/>
      <c r="AB24" s="22"/>
    </row>
    <row r="25" spans="1:28" x14ac:dyDescent="0.3">
      <c r="A25" s="41">
        <v>2</v>
      </c>
      <c r="B25" s="37">
        <v>237.71988200000001</v>
      </c>
      <c r="C25" s="47">
        <v>367.66760199999999</v>
      </c>
      <c r="D25" s="8">
        <f t="shared" si="0"/>
        <v>243.73130059041651</v>
      </c>
      <c r="E25" s="8">
        <f t="shared" si="1"/>
        <v>376.74759045180883</v>
      </c>
      <c r="F25" s="55">
        <f t="shared" si="2"/>
        <v>6.011418590416497</v>
      </c>
      <c r="G25" s="56">
        <f t="shared" si="2"/>
        <v>9.0799884518088447</v>
      </c>
      <c r="Q25" s="22"/>
      <c r="R25" s="22"/>
      <c r="S25" s="22"/>
      <c r="T25" s="22"/>
      <c r="U25" s="22"/>
      <c r="V25" s="22"/>
      <c r="W25" s="22"/>
      <c r="X25" s="22"/>
      <c r="Y25" s="22" t="s">
        <v>21</v>
      </c>
      <c r="Z25" s="22"/>
      <c r="AA25" s="22" t="s">
        <v>37</v>
      </c>
      <c r="AB25" s="22"/>
    </row>
    <row r="26" spans="1:28" x14ac:dyDescent="0.3">
      <c r="A26" s="41">
        <v>2.1</v>
      </c>
      <c r="B26" s="37">
        <v>292.641007</v>
      </c>
      <c r="C26" s="47">
        <v>452.013914</v>
      </c>
      <c r="D26" s="8">
        <f t="shared" si="0"/>
        <v>300.36922975068524</v>
      </c>
      <c r="E26" s="8">
        <f t="shared" si="1"/>
        <v>463.68049016247255</v>
      </c>
      <c r="F26" s="55">
        <f t="shared" si="2"/>
        <v>7.7282227506852337</v>
      </c>
      <c r="G26" s="8">
        <f t="shared" si="2"/>
        <v>11.666576162472552</v>
      </c>
      <c r="H26" s="6"/>
      <c r="I26" s="8"/>
      <c r="J26" s="8"/>
      <c r="K26" s="8"/>
      <c r="L26" s="8"/>
      <c r="M26" s="8"/>
      <c r="Q26" s="21">
        <f>MAX(F5:F35)</f>
        <v>67.749773043505684</v>
      </c>
      <c r="R26" s="21"/>
      <c r="S26" s="21">
        <f>MAX(N5:N20)</f>
        <v>224.73657604350569</v>
      </c>
      <c r="T26" s="21"/>
      <c r="U26" s="21">
        <f>AVERAGE(F5:F35)</f>
        <v>10.190278818442945</v>
      </c>
      <c r="V26" s="21"/>
      <c r="W26" s="21">
        <f>AVERAGE(N5:N20)</f>
        <v>36.810362540601162</v>
      </c>
      <c r="X26" s="21"/>
      <c r="Y26" s="21">
        <f>S26/Q26</f>
        <v>3.3171561460315231</v>
      </c>
      <c r="Z26" s="21"/>
      <c r="AA26" s="21">
        <f>W26/U26</f>
        <v>3.6123018021822602</v>
      </c>
      <c r="AB26" s="21"/>
    </row>
    <row r="27" spans="1:28" x14ac:dyDescent="0.3">
      <c r="A27" s="41">
        <v>2.2000000000000002</v>
      </c>
      <c r="B27" s="37">
        <v>360.10453699999999</v>
      </c>
      <c r="C27" s="47">
        <v>555.46693100000005</v>
      </c>
      <c r="D27" s="8">
        <f t="shared" si="0"/>
        <v>370.01531592037747</v>
      </c>
      <c r="E27" s="8">
        <f t="shared" si="1"/>
        <v>570.42056107501037</v>
      </c>
      <c r="F27" s="55">
        <f t="shared" si="2"/>
        <v>9.9107789203774814</v>
      </c>
      <c r="G27" s="8">
        <f t="shared" si="2"/>
        <v>14.953630075010324</v>
      </c>
      <c r="H27" s="6"/>
      <c r="I27" s="98" t="s">
        <v>24</v>
      </c>
      <c r="J27" s="99"/>
      <c r="K27" s="99"/>
      <c r="L27" s="99"/>
      <c r="M27" s="100"/>
    </row>
    <row r="28" spans="1:28" x14ac:dyDescent="0.3">
      <c r="A28" s="41">
        <v>2.2999999999999998</v>
      </c>
      <c r="B28" s="37">
        <v>442.938019</v>
      </c>
      <c r="C28" s="47">
        <v>682.30764599999998</v>
      </c>
      <c r="D28" s="8">
        <f t="shared" si="0"/>
        <v>455.61908538940571</v>
      </c>
      <c r="E28" s="8">
        <f t="shared" si="1"/>
        <v>701.43203565400131</v>
      </c>
      <c r="F28" s="55">
        <f t="shared" si="2"/>
        <v>12.681066389405714</v>
      </c>
      <c r="G28" s="8">
        <f t="shared" si="2"/>
        <v>19.124389654001334</v>
      </c>
      <c r="H28" s="6"/>
      <c r="I28" s="101"/>
      <c r="J28" s="102"/>
      <c r="K28" s="102"/>
      <c r="L28" s="102"/>
      <c r="M28" s="103"/>
      <c r="P28" s="1"/>
    </row>
    <row r="29" spans="1:28" x14ac:dyDescent="0.3">
      <c r="A29" s="41">
        <v>2.4</v>
      </c>
      <c r="B29" s="37">
        <v>544.60027500000001</v>
      </c>
      <c r="C29" s="47">
        <v>837.76907400000005</v>
      </c>
      <c r="D29" s="8">
        <f t="shared" si="0"/>
        <v>560.79248209086757</v>
      </c>
      <c r="E29" s="8">
        <f t="shared" si="1"/>
        <v>862.17793160746896</v>
      </c>
      <c r="F29" s="55">
        <f t="shared" si="2"/>
        <v>16.192207090867555</v>
      </c>
      <c r="G29" s="8">
        <f t="shared" si="2"/>
        <v>24.408857607468917</v>
      </c>
      <c r="H29" s="6"/>
      <c r="I29" s="14"/>
      <c r="J29" s="14"/>
      <c r="K29" s="14"/>
      <c r="L29" s="14"/>
      <c r="M29" s="14"/>
    </row>
    <row r="30" spans="1:28" x14ac:dyDescent="0.3">
      <c r="A30" s="41">
        <v>2.5</v>
      </c>
      <c r="B30" s="37">
        <v>669.321459</v>
      </c>
      <c r="C30" s="47">
        <v>1028.2469960000001</v>
      </c>
      <c r="D30" s="8">
        <f t="shared" si="0"/>
        <v>689.95773823910395</v>
      </c>
      <c r="E30" s="8">
        <f t="shared" si="1"/>
        <v>1059.342500126269</v>
      </c>
      <c r="F30" s="55">
        <f t="shared" si="2"/>
        <v>20.636279239103942</v>
      </c>
      <c r="G30" s="8">
        <f t="shared" si="2"/>
        <v>31.095504126268906</v>
      </c>
      <c r="H30" s="6"/>
      <c r="I30" s="14"/>
      <c r="J30" s="14"/>
      <c r="K30" s="14"/>
      <c r="L30" s="14"/>
      <c r="M30" s="14"/>
    </row>
    <row r="31" spans="1:28" x14ac:dyDescent="0.3">
      <c r="A31" s="41">
        <v>2.6</v>
      </c>
      <c r="B31" s="37">
        <v>822.27409499999999</v>
      </c>
      <c r="C31" s="47">
        <v>1261.5572090000001</v>
      </c>
      <c r="D31" s="8">
        <f t="shared" si="0"/>
        <v>848.52813431482264</v>
      </c>
      <c r="E31" s="8">
        <f t="shared" si="1"/>
        <v>1301.1030860762698</v>
      </c>
      <c r="F31" s="55">
        <f t="shared" si="2"/>
        <v>26.254039314822649</v>
      </c>
      <c r="G31" s="8">
        <f t="shared" si="2"/>
        <v>39.54587707626979</v>
      </c>
      <c r="H31" s="6"/>
      <c r="I31" s="14"/>
      <c r="J31" s="14"/>
      <c r="K31" s="14"/>
      <c r="L31" s="14"/>
      <c r="M31" s="14"/>
    </row>
    <row r="32" spans="1:28" x14ac:dyDescent="0.3">
      <c r="A32" s="41">
        <v>2.7</v>
      </c>
      <c r="B32" s="37">
        <v>1009.78189</v>
      </c>
      <c r="C32" s="47">
        <v>1547.2495610000001</v>
      </c>
      <c r="D32" s="8">
        <f t="shared" si="0"/>
        <v>1043.1289484251283</v>
      </c>
      <c r="E32" s="8">
        <f t="shared" si="1"/>
        <v>1597.4623595317203</v>
      </c>
      <c r="F32" s="55">
        <f t="shared" si="2"/>
        <v>33.347058425128353</v>
      </c>
      <c r="G32" s="8">
        <f t="shared" si="2"/>
        <v>50.212798531720182</v>
      </c>
      <c r="H32" s="6"/>
      <c r="I32" s="14"/>
      <c r="J32" s="14"/>
      <c r="K32" s="14"/>
      <c r="L32" s="14"/>
      <c r="M32" s="14"/>
      <c r="N32"/>
      <c r="O32" s="6"/>
    </row>
    <row r="33" spans="1:15" x14ac:dyDescent="0.3">
      <c r="A33" s="41">
        <v>2.8</v>
      </c>
      <c r="B33" s="37">
        <v>1239.5746810000001</v>
      </c>
      <c r="C33" s="47">
        <v>1896.9912650000001</v>
      </c>
      <c r="D33" s="8">
        <f t="shared" si="0"/>
        <v>1281.8675134960918</v>
      </c>
      <c r="E33" s="8">
        <f t="shared" si="1"/>
        <v>1960.6543067703469</v>
      </c>
      <c r="F33" s="55">
        <f t="shared" si="2"/>
        <v>42.292832496091705</v>
      </c>
      <c r="G33" s="8">
        <f t="shared" si="2"/>
        <v>63.663041770346808</v>
      </c>
      <c r="H33" s="6"/>
      <c r="I33" s="14"/>
      <c r="J33" s="14"/>
      <c r="K33" s="14"/>
      <c r="L33" s="14"/>
      <c r="M33" s="14"/>
      <c r="N33"/>
      <c r="O33"/>
    </row>
    <row r="34" spans="1:15" x14ac:dyDescent="0.3">
      <c r="A34" s="41">
        <v>2.9</v>
      </c>
      <c r="B34" s="37">
        <v>1521.099678</v>
      </c>
      <c r="C34" s="47">
        <v>2325.0347630000001</v>
      </c>
      <c r="D34" s="8">
        <f t="shared" si="0"/>
        <v>1574.6632777644331</v>
      </c>
      <c r="E34" s="8">
        <f t="shared" si="1"/>
        <v>2405.6403355807561</v>
      </c>
      <c r="F34" s="55">
        <f t="shared" si="2"/>
        <v>53.563599764433093</v>
      </c>
      <c r="G34" s="8">
        <f t="shared" si="2"/>
        <v>80.605572580755961</v>
      </c>
      <c r="H34" s="6"/>
      <c r="I34" s="14"/>
      <c r="J34" s="14"/>
      <c r="K34" s="14"/>
      <c r="L34" s="14"/>
      <c r="M34" s="14"/>
      <c r="N34"/>
      <c r="O34"/>
    </row>
    <row r="35" spans="1:15" x14ac:dyDescent="0.3">
      <c r="A35" s="38">
        <v>3</v>
      </c>
      <c r="B35" s="48">
        <v>1865.901406</v>
      </c>
      <c r="C35" s="39">
        <v>2848.788779</v>
      </c>
      <c r="D35" s="58">
        <f t="shared" si="0"/>
        <v>1933.6511790435056</v>
      </c>
      <c r="E35" s="58">
        <f t="shared" si="1"/>
        <v>2950.7154736058492</v>
      </c>
      <c r="F35" s="57">
        <f t="shared" si="2"/>
        <v>67.749773043505684</v>
      </c>
      <c r="G35" s="58">
        <f t="shared" si="2"/>
        <v>101.92669460584921</v>
      </c>
      <c r="H35" s="6"/>
      <c r="I35" s="14"/>
      <c r="J35" s="14"/>
      <c r="K35" s="14"/>
      <c r="L35" s="14"/>
      <c r="M35" s="14"/>
      <c r="N35"/>
      <c r="O35"/>
    </row>
    <row r="36" spans="1:15" x14ac:dyDescent="0.3">
      <c r="H36" s="6"/>
      <c r="I36" s="104" t="s">
        <v>25</v>
      </c>
      <c r="J36" s="105"/>
      <c r="K36" s="105"/>
      <c r="L36" s="105"/>
      <c r="M36" s="106"/>
      <c r="N36"/>
      <c r="O36"/>
    </row>
    <row r="37" spans="1:15" x14ac:dyDescent="0.3">
      <c r="H37" s="6"/>
      <c r="I37" s="107"/>
      <c r="J37" s="108"/>
      <c r="K37" s="108"/>
      <c r="L37" s="108"/>
      <c r="M37" s="109"/>
    </row>
    <row r="38" spans="1:15" x14ac:dyDescent="0.3">
      <c r="H38" s="6"/>
      <c r="I38" s="9"/>
      <c r="J38" s="9"/>
      <c r="K38" s="9"/>
      <c r="L38" s="9"/>
      <c r="M38" s="9"/>
    </row>
    <row r="39" spans="1:15" x14ac:dyDescent="0.3">
      <c r="H39" s="6"/>
      <c r="I39" s="9"/>
      <c r="J39" s="9"/>
      <c r="K39" s="9"/>
      <c r="L39" s="9"/>
      <c r="M39" s="9"/>
    </row>
    <row r="40" spans="1:15" x14ac:dyDescent="0.3">
      <c r="H40" s="6"/>
      <c r="I40" s="9"/>
      <c r="J40" s="9"/>
      <c r="K40" s="9"/>
      <c r="L40" s="9"/>
      <c r="M40" s="9"/>
    </row>
    <row r="41" spans="1:15" x14ac:dyDescent="0.3">
      <c r="H41" s="6"/>
      <c r="I41" s="8"/>
      <c r="J41" s="8"/>
      <c r="K41" s="8"/>
      <c r="L41" s="8"/>
      <c r="M41" s="8"/>
    </row>
    <row r="42" spans="1:15" x14ac:dyDescent="0.3">
      <c r="H42" s="1"/>
      <c r="I42"/>
      <c r="J42"/>
      <c r="K42"/>
      <c r="L42"/>
      <c r="M42"/>
      <c r="N42"/>
      <c r="O42"/>
    </row>
    <row r="43" spans="1:15" x14ac:dyDescent="0.3">
      <c r="H43" s="1"/>
      <c r="I43"/>
      <c r="J43"/>
      <c r="K43"/>
      <c r="L43"/>
      <c r="M43"/>
      <c r="N43"/>
      <c r="O43"/>
    </row>
    <row r="44" spans="1:15" x14ac:dyDescent="0.3">
      <c r="H44" s="1"/>
      <c r="I44"/>
      <c r="J44"/>
      <c r="K44"/>
      <c r="L44"/>
      <c r="M44"/>
      <c r="N44"/>
      <c r="O44"/>
    </row>
    <row r="45" spans="1:15" x14ac:dyDescent="0.3">
      <c r="H45" s="1"/>
      <c r="I45"/>
      <c r="J45"/>
      <c r="K45"/>
      <c r="L45"/>
      <c r="M45"/>
      <c r="N45"/>
      <c r="O45"/>
    </row>
    <row r="46" spans="1:15" x14ac:dyDescent="0.3">
      <c r="H46" s="1"/>
      <c r="I46"/>
      <c r="J46"/>
      <c r="K46"/>
      <c r="L46"/>
      <c r="M46"/>
      <c r="N46"/>
      <c r="O46"/>
    </row>
    <row r="47" spans="1:15" x14ac:dyDescent="0.3">
      <c r="H47" s="1"/>
      <c r="I47"/>
      <c r="J47"/>
      <c r="K47"/>
      <c r="L47"/>
      <c r="M47"/>
      <c r="N47"/>
      <c r="O47"/>
    </row>
    <row r="48" spans="1:15" x14ac:dyDescent="0.3">
      <c r="H48" s="1"/>
      <c r="I48"/>
      <c r="J48"/>
      <c r="K48"/>
      <c r="L48"/>
      <c r="M48"/>
      <c r="N48"/>
      <c r="O48"/>
    </row>
    <row r="49" spans="8:28" x14ac:dyDescent="0.3">
      <c r="H49" s="1"/>
      <c r="I49"/>
      <c r="J49"/>
      <c r="K49"/>
      <c r="L49"/>
      <c r="M49"/>
      <c r="N49"/>
      <c r="O49"/>
    </row>
    <row r="50" spans="8:28" x14ac:dyDescent="0.3">
      <c r="H50" s="1"/>
      <c r="I50"/>
      <c r="J50"/>
      <c r="K50"/>
      <c r="L50"/>
      <c r="M50"/>
      <c r="N50"/>
      <c r="O50"/>
    </row>
    <row r="51" spans="8:28" x14ac:dyDescent="0.3">
      <c r="H51" s="1"/>
      <c r="I51"/>
      <c r="J51"/>
      <c r="K51"/>
      <c r="L51"/>
      <c r="M51"/>
      <c r="N51"/>
      <c r="O51"/>
    </row>
    <row r="57" spans="8:28" x14ac:dyDescent="0.3">
      <c r="Q57" s="22" t="s">
        <v>22</v>
      </c>
      <c r="R57" s="22"/>
      <c r="S57" s="22" t="s">
        <v>23</v>
      </c>
      <c r="T57" s="22"/>
      <c r="U57" s="22" t="s">
        <v>35</v>
      </c>
      <c r="V57" s="22"/>
      <c r="W57" s="22" t="s">
        <v>36</v>
      </c>
      <c r="X57" s="22"/>
      <c r="Y57" s="22" t="s">
        <v>20</v>
      </c>
      <c r="Z57" s="22"/>
      <c r="AA57" s="22"/>
      <c r="AB57" s="22"/>
    </row>
    <row r="58" spans="8:28" x14ac:dyDescent="0.3">
      <c r="Q58" s="22"/>
      <c r="R58" s="22"/>
      <c r="S58" s="22"/>
      <c r="T58" s="22"/>
      <c r="U58" s="22"/>
      <c r="V58" s="22"/>
      <c r="W58" s="22"/>
      <c r="X58" s="22"/>
      <c r="Y58" s="22" t="s">
        <v>21</v>
      </c>
      <c r="Z58" s="22"/>
      <c r="AA58" s="22" t="s">
        <v>37</v>
      </c>
      <c r="AB58" s="22"/>
    </row>
    <row r="59" spans="8:28" x14ac:dyDescent="0.3">
      <c r="Q59" s="19">
        <f>MAX(G5:G35)</f>
        <v>101.92669460584921</v>
      </c>
      <c r="R59" s="20"/>
      <c r="S59" s="19">
        <f>MAX(O5:O20)</f>
        <v>338.21469360584933</v>
      </c>
      <c r="T59" s="20"/>
      <c r="U59" s="19">
        <f>AVERAGE(G5:G35)</f>
        <v>15.350834101426155</v>
      </c>
      <c r="V59" s="20"/>
      <c r="W59" s="19">
        <f>AVERAGE(O5:O20)</f>
        <v>55.467070553239694</v>
      </c>
      <c r="X59" s="20"/>
      <c r="Y59" s="21">
        <f>S59/Q59</f>
        <v>3.3182150653832778</v>
      </c>
      <c r="Z59" s="21"/>
      <c r="AA59" s="21">
        <f>W59/U59</f>
        <v>3.6132935960845658</v>
      </c>
      <c r="AB59" s="21"/>
    </row>
  </sheetData>
  <mergeCells count="38">
    <mergeCell ref="L2:M3"/>
    <mergeCell ref="N2:O3"/>
    <mergeCell ref="B2:C3"/>
    <mergeCell ref="D2:E3"/>
    <mergeCell ref="A2:A3"/>
    <mergeCell ref="F2:G3"/>
    <mergeCell ref="I2:I3"/>
    <mergeCell ref="J2:K3"/>
    <mergeCell ref="Q26:R26"/>
    <mergeCell ref="S26:T26"/>
    <mergeCell ref="U26:V26"/>
    <mergeCell ref="U24:V25"/>
    <mergeCell ref="Q24:R25"/>
    <mergeCell ref="S24:T25"/>
    <mergeCell ref="W26:X26"/>
    <mergeCell ref="Y25:Z25"/>
    <mergeCell ref="AA25:AB25"/>
    <mergeCell ref="Y24:AB24"/>
    <mergeCell ref="W24:X25"/>
    <mergeCell ref="Y26:Z26"/>
    <mergeCell ref="AA26:AB26"/>
    <mergeCell ref="Q57:R58"/>
    <mergeCell ref="S57:T58"/>
    <mergeCell ref="U57:V58"/>
    <mergeCell ref="W57:X58"/>
    <mergeCell ref="Y57:AB57"/>
    <mergeCell ref="Y58:Z58"/>
    <mergeCell ref="AA58:AB58"/>
    <mergeCell ref="Q59:R59"/>
    <mergeCell ref="AA59:AB59"/>
    <mergeCell ref="Y59:Z59"/>
    <mergeCell ref="W59:X59"/>
    <mergeCell ref="U59:V59"/>
    <mergeCell ref="S59:T59"/>
    <mergeCell ref="I38:M40"/>
    <mergeCell ref="I27:M28"/>
    <mergeCell ref="I29:M35"/>
    <mergeCell ref="I36:M3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ED12-6BF8-4611-8351-071B85C44A22}">
  <dimension ref="A1:AM132"/>
  <sheetViews>
    <sheetView tabSelected="1" zoomScale="40" zoomScaleNormal="85" workbookViewId="0">
      <selection activeCell="Q41" sqref="Q41"/>
    </sheetView>
  </sheetViews>
  <sheetFormatPr defaultRowHeight="14.4" x14ac:dyDescent="0.3"/>
  <cols>
    <col min="1" max="7" width="11.44140625" customWidth="1"/>
    <col min="8" max="10" width="13.5546875" bestFit="1" customWidth="1"/>
    <col min="12" max="18" width="11.44140625" customWidth="1"/>
    <col min="19" max="19" width="9" bestFit="1" customWidth="1"/>
    <col min="20" max="23" width="12.6640625" customWidth="1"/>
  </cols>
  <sheetData>
    <row r="1" spans="1:21" ht="15.75" customHeight="1" x14ac:dyDescent="0.3">
      <c r="A1" s="61" t="s">
        <v>8</v>
      </c>
      <c r="B1" s="63" t="s">
        <v>27</v>
      </c>
      <c r="C1" s="64"/>
      <c r="D1" s="65"/>
      <c r="E1" s="69" t="s">
        <v>7</v>
      </c>
      <c r="F1" s="70"/>
      <c r="G1" s="71"/>
      <c r="H1" s="75" t="s">
        <v>9</v>
      </c>
      <c r="I1" s="76"/>
      <c r="J1" s="77"/>
      <c r="L1" s="61" t="s">
        <v>8</v>
      </c>
      <c r="M1" s="63" t="s">
        <v>26</v>
      </c>
      <c r="N1" s="64"/>
      <c r="O1" s="65"/>
      <c r="P1" s="69" t="s">
        <v>7</v>
      </c>
      <c r="Q1" s="70"/>
      <c r="R1" s="71"/>
      <c r="S1" s="75" t="s">
        <v>9</v>
      </c>
      <c r="T1" s="76"/>
      <c r="U1" s="77"/>
    </row>
    <row r="2" spans="1:21" ht="15.75" customHeight="1" thickBot="1" x14ac:dyDescent="0.35">
      <c r="A2" s="62"/>
      <c r="B2" s="66"/>
      <c r="C2" s="67"/>
      <c r="D2" s="68"/>
      <c r="E2" s="72"/>
      <c r="F2" s="73"/>
      <c r="G2" s="74"/>
      <c r="H2" s="78"/>
      <c r="I2" s="79"/>
      <c r="J2" s="80"/>
      <c r="L2" s="62"/>
      <c r="M2" s="66"/>
      <c r="N2" s="67"/>
      <c r="O2" s="68"/>
      <c r="P2" s="72"/>
      <c r="Q2" s="73"/>
      <c r="R2" s="74"/>
      <c r="S2" s="78"/>
      <c r="T2" s="79"/>
      <c r="U2" s="80"/>
    </row>
    <row r="3" spans="1:21" x14ac:dyDescent="0.3">
      <c r="A3" s="35" t="s">
        <v>0</v>
      </c>
      <c r="B3" s="36" t="s">
        <v>1</v>
      </c>
      <c r="C3" s="36" t="s">
        <v>2</v>
      </c>
      <c r="D3" s="36" t="s">
        <v>12</v>
      </c>
      <c r="E3" s="36" t="s">
        <v>3</v>
      </c>
      <c r="F3" s="36" t="s">
        <v>4</v>
      </c>
      <c r="G3" s="36" t="s">
        <v>11</v>
      </c>
      <c r="H3" s="36" t="s">
        <v>5</v>
      </c>
      <c r="I3" s="36" t="s">
        <v>6</v>
      </c>
      <c r="J3" s="60" t="s">
        <v>10</v>
      </c>
      <c r="L3" s="35" t="s">
        <v>0</v>
      </c>
      <c r="M3" s="36" t="s">
        <v>1</v>
      </c>
      <c r="N3" s="36" t="s">
        <v>2</v>
      </c>
      <c r="O3" s="36" t="s">
        <v>12</v>
      </c>
      <c r="P3" s="36" t="s">
        <v>3</v>
      </c>
      <c r="Q3" s="36" t="s">
        <v>4</v>
      </c>
      <c r="R3" s="36" t="s">
        <v>11</v>
      </c>
      <c r="S3" s="36" t="s">
        <v>5</v>
      </c>
      <c r="T3" s="36" t="s">
        <v>6</v>
      </c>
      <c r="U3" s="60" t="s">
        <v>10</v>
      </c>
    </row>
    <row r="4" spans="1:21" x14ac:dyDescent="0.3">
      <c r="A4" s="42">
        <v>0</v>
      </c>
      <c r="B4" s="42">
        <v>2</v>
      </c>
      <c r="C4" s="45">
        <v>1</v>
      </c>
      <c r="D4" s="45">
        <v>1</v>
      </c>
      <c r="E4" s="50">
        <f>$L$38+$M$38*EXP(A4)</f>
        <v>2</v>
      </c>
      <c r="F4" s="51">
        <f>3*$L$38+$N$38*EXP(A4)</f>
        <v>1</v>
      </c>
      <c r="G4" s="51">
        <f>-$L$38+($M$38-$N$38)*EXP(A4)</f>
        <v>1</v>
      </c>
      <c r="H4" s="50">
        <f>ABS(B4-E4)</f>
        <v>0</v>
      </c>
      <c r="I4" s="51">
        <f>ABS(C4-F4)</f>
        <v>0</v>
      </c>
      <c r="J4" s="52">
        <f>ABS(D4-G4)</f>
        <v>0</v>
      </c>
      <c r="L4" s="42">
        <v>0</v>
      </c>
      <c r="M4" s="42">
        <v>2</v>
      </c>
      <c r="N4" s="45">
        <v>1</v>
      </c>
      <c r="O4" s="45">
        <v>1</v>
      </c>
      <c r="P4" s="50">
        <f>$L$38+$M$38*EXP(L4)</f>
        <v>2</v>
      </c>
      <c r="Q4" s="51">
        <f>3*$L$38+$N$38*EXP(L4)</f>
        <v>1</v>
      </c>
      <c r="R4" s="51">
        <f>-$L$38+($M$38-$N$38)*EXP(L4)</f>
        <v>1</v>
      </c>
      <c r="S4" s="50">
        <f>ABS(M4-P4)</f>
        <v>0</v>
      </c>
      <c r="T4" s="51">
        <f t="shared" ref="T4:U4" si="0">ABS(N4-Q4)</f>
        <v>0</v>
      </c>
      <c r="U4" s="52">
        <f t="shared" si="0"/>
        <v>0</v>
      </c>
    </row>
    <row r="5" spans="1:21" x14ac:dyDescent="0.3">
      <c r="A5" s="43">
        <v>0.05</v>
      </c>
      <c r="B5" s="43">
        <v>2.1025</v>
      </c>
      <c r="C5" s="37">
        <v>1.05125</v>
      </c>
      <c r="D5" s="37">
        <v>1.05125</v>
      </c>
      <c r="E5" s="53">
        <f>$L$38+$M$38*EXP(A5)</f>
        <v>2.1025421927520482</v>
      </c>
      <c r="F5" s="49">
        <f>3*$L$38+$N$38*EXP(A5)</f>
        <v>1.0512710963760241</v>
      </c>
      <c r="G5" s="49">
        <f>-$L$38+($M$38-$N$38)*EXP(A5)</f>
        <v>1.0512710963760241</v>
      </c>
      <c r="H5" s="53">
        <f>ABS(B5-E5)</f>
        <v>4.2192752048197946E-5</v>
      </c>
      <c r="I5" s="49">
        <f>ABS(C5-F5)</f>
        <v>2.1096376024098973E-5</v>
      </c>
      <c r="J5" s="54">
        <f>ABS(D5-G5)</f>
        <v>2.1096376024098973E-5</v>
      </c>
      <c r="L5" s="43">
        <v>0.1</v>
      </c>
      <c r="M5" s="43">
        <v>2.21</v>
      </c>
      <c r="N5" s="37">
        <v>1.105</v>
      </c>
      <c r="O5" s="37">
        <v>1.105</v>
      </c>
      <c r="P5" s="53">
        <f t="shared" ref="P5:P34" si="1">$L$38+$M$38*EXP(L5)</f>
        <v>2.2103418361512954</v>
      </c>
      <c r="Q5" s="49">
        <f t="shared" ref="Q5:Q34" si="2">3*$L$38+$N$38*EXP(L5)</f>
        <v>1.1051709180756477</v>
      </c>
      <c r="R5" s="49">
        <f t="shared" ref="R5:R34" si="3">-$L$38+($M$38-$N$38)*EXP(L5)</f>
        <v>1.1051709180756477</v>
      </c>
      <c r="S5" s="53">
        <f t="shared" ref="S5:S34" si="4">ABS(M5-P5)</f>
        <v>3.4183615129546041E-4</v>
      </c>
      <c r="T5" s="49">
        <f t="shared" ref="T5:T34" si="5">ABS(N5-Q5)</f>
        <v>1.7091807564773021E-4</v>
      </c>
      <c r="U5" s="54">
        <f t="shared" ref="U5:U34" si="6">ABS(O5-R5)</f>
        <v>1.7091807564773021E-4</v>
      </c>
    </row>
    <row r="6" spans="1:21" x14ac:dyDescent="0.3">
      <c r="A6" s="43">
        <v>0.1</v>
      </c>
      <c r="B6" s="43">
        <v>2.2102529999999998</v>
      </c>
      <c r="C6" s="37">
        <v>1.105127</v>
      </c>
      <c r="D6" s="37">
        <v>1.105127</v>
      </c>
      <c r="E6" s="55">
        <f>$L$38+$M$38*EXP(A6)</f>
        <v>2.2103418361512954</v>
      </c>
      <c r="F6" s="8">
        <f>3*$L$38+$N$38*EXP(A6)</f>
        <v>1.1051709180756477</v>
      </c>
      <c r="G6" s="8">
        <f>-$L$38+($M$38-$N$38)*EXP(A6)</f>
        <v>1.1051709180756477</v>
      </c>
      <c r="H6" s="55">
        <f>ABS(B6-E6)</f>
        <v>8.8836151295623722E-5</v>
      </c>
      <c r="I6" s="8">
        <f>ABS(C6-F6)</f>
        <v>4.3918075647741972E-5</v>
      </c>
      <c r="J6" s="56">
        <f>ABS(D6-G6)</f>
        <v>4.3918075647741972E-5</v>
      </c>
      <c r="L6" s="43">
        <v>0.2</v>
      </c>
      <c r="M6" s="43">
        <v>2.4420500000000001</v>
      </c>
      <c r="N6" s="37">
        <v>1.221025</v>
      </c>
      <c r="O6" s="37">
        <v>1.221025</v>
      </c>
      <c r="P6" s="55">
        <f t="shared" si="1"/>
        <v>2.4428055163203397</v>
      </c>
      <c r="Q6" s="8">
        <f t="shared" si="2"/>
        <v>1.2214027581601699</v>
      </c>
      <c r="R6" s="8">
        <f t="shared" si="3"/>
        <v>1.2214027581601699</v>
      </c>
      <c r="S6" s="55">
        <f t="shared" si="4"/>
        <v>7.5551632033965532E-4</v>
      </c>
      <c r="T6" s="8">
        <f t="shared" si="5"/>
        <v>3.7775816016982766E-4</v>
      </c>
      <c r="U6" s="56">
        <f t="shared" si="6"/>
        <v>3.7775816016982766E-4</v>
      </c>
    </row>
    <row r="7" spans="1:21" x14ac:dyDescent="0.3">
      <c r="A7" s="43">
        <v>0.15</v>
      </c>
      <c r="B7" s="43">
        <v>2.3235290000000002</v>
      </c>
      <c r="C7" s="37">
        <v>1.161764</v>
      </c>
      <c r="D7" s="37">
        <v>1.161764</v>
      </c>
      <c r="E7" s="55">
        <f>$L$38+$M$38*EXP(A7)</f>
        <v>2.3236684854565661</v>
      </c>
      <c r="F7" s="8">
        <f>3*$L$38+$N$38*EXP(A7)</f>
        <v>1.1618342427282831</v>
      </c>
      <c r="G7" s="8">
        <f>-$L$38+($M$38-$N$38)*EXP(A7)</f>
        <v>1.1618342427282831</v>
      </c>
      <c r="H7" s="55">
        <f>ABS(B7-E7)</f>
        <v>1.3948545656594646E-4</v>
      </c>
      <c r="I7" s="8">
        <f>ABS(C7-F7)</f>
        <v>7.0242728283043121E-5</v>
      </c>
      <c r="J7" s="56">
        <f>ABS(D7-G7)</f>
        <v>7.0242728283043121E-5</v>
      </c>
      <c r="L7" s="43">
        <v>0.3</v>
      </c>
      <c r="M7" s="43">
        <v>2.6984650000000001</v>
      </c>
      <c r="N7" s="37">
        <v>1.3492329999999999</v>
      </c>
      <c r="O7" s="37">
        <v>1.3492329999999999</v>
      </c>
      <c r="P7" s="55">
        <f t="shared" si="1"/>
        <v>2.6997176151520064</v>
      </c>
      <c r="Q7" s="8">
        <f t="shared" si="2"/>
        <v>1.3498588075760032</v>
      </c>
      <c r="R7" s="8">
        <f t="shared" si="3"/>
        <v>1.3498588075760032</v>
      </c>
      <c r="S7" s="55">
        <f t="shared" si="4"/>
        <v>1.2526151520062534E-3</v>
      </c>
      <c r="T7" s="8">
        <f t="shared" si="5"/>
        <v>6.2580757600327885E-4</v>
      </c>
      <c r="U7" s="56">
        <f t="shared" si="6"/>
        <v>6.2580757600327885E-4</v>
      </c>
    </row>
    <row r="8" spans="1:21" x14ac:dyDescent="0.3">
      <c r="A8" s="43">
        <v>0.2</v>
      </c>
      <c r="B8" s="43">
        <v>2.442609</v>
      </c>
      <c r="C8" s="37">
        <v>1.2213050000000001</v>
      </c>
      <c r="D8" s="37">
        <v>1.2213050000000001</v>
      </c>
      <c r="E8" s="55">
        <f>$L$38+$M$38*EXP(A8)</f>
        <v>2.4428055163203397</v>
      </c>
      <c r="F8" s="8">
        <f>3*$L$38+$N$38*EXP(A8)</f>
        <v>1.2214027581601699</v>
      </c>
      <c r="G8" s="8">
        <f>-$L$38+($M$38-$N$38)*EXP(A8)</f>
        <v>1.2214027581601699</v>
      </c>
      <c r="H8" s="55">
        <f>ABS(B8-E8)</f>
        <v>1.9651632033967914E-4</v>
      </c>
      <c r="I8" s="8">
        <f>ABS(C8-F8)</f>
        <v>9.7758160169769681E-5</v>
      </c>
      <c r="J8" s="56">
        <f>ABS(D8-G8)</f>
        <v>9.7758160169769681E-5</v>
      </c>
      <c r="L8" s="43">
        <v>0.4</v>
      </c>
      <c r="M8" s="43">
        <v>2.9818039999999999</v>
      </c>
      <c r="N8" s="37">
        <v>1.4909019999999999</v>
      </c>
      <c r="O8" s="37">
        <v>1.4909019999999999</v>
      </c>
      <c r="P8" s="55">
        <f t="shared" si="1"/>
        <v>2.9836493952825407</v>
      </c>
      <c r="Q8" s="8">
        <f t="shared" si="2"/>
        <v>1.4918246976412703</v>
      </c>
      <c r="R8" s="8">
        <f t="shared" si="3"/>
        <v>1.4918246976412703</v>
      </c>
      <c r="S8" s="55">
        <f t="shared" si="4"/>
        <v>1.845395282540796E-3</v>
      </c>
      <c r="T8" s="8">
        <f t="shared" si="5"/>
        <v>9.2269764127039799E-4</v>
      </c>
      <c r="U8" s="56">
        <f t="shared" si="6"/>
        <v>9.2269764127039799E-4</v>
      </c>
    </row>
    <row r="9" spans="1:21" x14ac:dyDescent="0.3">
      <c r="A9" s="43">
        <v>0.25</v>
      </c>
      <c r="B9" s="43">
        <v>2.567793</v>
      </c>
      <c r="C9" s="37">
        <v>1.2838970000000001</v>
      </c>
      <c r="D9" s="37">
        <v>1.2838970000000001</v>
      </c>
      <c r="E9" s="55">
        <f>$L$38+$M$38*EXP(A9)</f>
        <v>2.5680508333754828</v>
      </c>
      <c r="F9" s="8">
        <f>3*$L$38+$N$38*EXP(A9)</f>
        <v>1.2840254166877414</v>
      </c>
      <c r="G9" s="8">
        <f>-$L$38+($M$38-$N$38)*EXP(A9)</f>
        <v>1.2840254166877414</v>
      </c>
      <c r="H9" s="55">
        <f>ABS(B9-E9)</f>
        <v>2.5783337548279661E-4</v>
      </c>
      <c r="I9" s="8">
        <f>ABS(C9-F9)</f>
        <v>1.2841668774132842E-4</v>
      </c>
      <c r="J9" s="56">
        <f>ABS(D9-G9)</f>
        <v>1.2841668774132842E-4</v>
      </c>
      <c r="L9" s="43">
        <v>0.5</v>
      </c>
      <c r="M9" s="43">
        <v>3.2948940000000002</v>
      </c>
      <c r="N9" s="37">
        <v>1.6474470000000001</v>
      </c>
      <c r="O9" s="37">
        <v>1.6474470000000001</v>
      </c>
      <c r="P9" s="55">
        <f t="shared" si="1"/>
        <v>3.2974425414002564</v>
      </c>
      <c r="Q9" s="8">
        <f t="shared" si="2"/>
        <v>1.6487212707001282</v>
      </c>
      <c r="R9" s="8">
        <f t="shared" si="3"/>
        <v>1.6487212707001282</v>
      </c>
      <c r="S9" s="55">
        <f t="shared" si="4"/>
        <v>2.5485414002561768E-3</v>
      </c>
      <c r="T9" s="8">
        <f t="shared" si="5"/>
        <v>1.2742707001280884E-3</v>
      </c>
      <c r="U9" s="56">
        <f t="shared" si="6"/>
        <v>1.2742707001280884E-3</v>
      </c>
    </row>
    <row r="10" spans="1:21" x14ac:dyDescent="0.3">
      <c r="A10" s="43">
        <v>0.3</v>
      </c>
      <c r="B10" s="43">
        <v>2.6993930000000002</v>
      </c>
      <c r="C10" s="37">
        <v>1.349696</v>
      </c>
      <c r="D10" s="37">
        <v>1.349696</v>
      </c>
      <c r="E10" s="55">
        <f>$L$38+$M$38*EXP(A10)</f>
        <v>2.6997176151520064</v>
      </c>
      <c r="F10" s="8">
        <f>3*$L$38+$N$38*EXP(A10)</f>
        <v>1.3498588075760032</v>
      </c>
      <c r="G10" s="8">
        <f>-$L$38+($M$38-$N$38)*EXP(A10)</f>
        <v>1.3498588075760032</v>
      </c>
      <c r="H10" s="55">
        <f>ABS(B10-E10)</f>
        <v>3.2461515200621349E-4</v>
      </c>
      <c r="I10" s="8">
        <f>ABS(C10-F10)</f>
        <v>1.6280757600317664E-4</v>
      </c>
      <c r="J10" s="56">
        <f>ABS(D10-G10)</f>
        <v>1.6280757600317664E-4</v>
      </c>
      <c r="L10" s="43">
        <v>0.6</v>
      </c>
      <c r="M10" s="43">
        <v>3.640857</v>
      </c>
      <c r="N10" s="37">
        <v>1.8204290000000001</v>
      </c>
      <c r="O10" s="37">
        <v>1.8204290000000001</v>
      </c>
      <c r="P10" s="55">
        <f t="shared" si="1"/>
        <v>3.6442376007810178</v>
      </c>
      <c r="Q10" s="8">
        <f t="shared" si="2"/>
        <v>1.8221188003905089</v>
      </c>
      <c r="R10" s="8">
        <f t="shared" si="3"/>
        <v>1.8221188003905089</v>
      </c>
      <c r="S10" s="55">
        <f t="shared" si="4"/>
        <v>3.3806007810177618E-3</v>
      </c>
      <c r="T10" s="8">
        <f t="shared" si="5"/>
        <v>1.689800390508811E-3</v>
      </c>
      <c r="U10" s="56">
        <f t="shared" si="6"/>
        <v>1.689800390508811E-3</v>
      </c>
    </row>
    <row r="11" spans="1:21" x14ac:dyDescent="0.3">
      <c r="A11" s="43">
        <v>0.35</v>
      </c>
      <c r="B11" s="43">
        <v>2.837736</v>
      </c>
      <c r="C11" s="37">
        <v>1.418868</v>
      </c>
      <c r="D11" s="37">
        <v>1.418868</v>
      </c>
      <c r="E11" s="55">
        <f>$L$38+$M$38*EXP(A11)</f>
        <v>2.8381350971865142</v>
      </c>
      <c r="F11" s="8">
        <f>3*$L$38+$N$38*EXP(A11)</f>
        <v>1.4190675485932571</v>
      </c>
      <c r="G11" s="8">
        <f>-$L$38+($M$38-$N$38)*EXP(A11)</f>
        <v>1.4190675485932571</v>
      </c>
      <c r="H11" s="55">
        <f>ABS(B11-E11)</f>
        <v>3.9909718651420789E-4</v>
      </c>
      <c r="I11" s="8">
        <f>ABS(C11-F11)</f>
        <v>1.9954859325710395E-4</v>
      </c>
      <c r="J11" s="56">
        <f>ABS(D11-G11)</f>
        <v>1.9954859325710395E-4</v>
      </c>
      <c r="L11" s="43">
        <v>0.7</v>
      </c>
      <c r="M11" s="43">
        <v>4.0231469999999998</v>
      </c>
      <c r="N11" s="37">
        <v>2.011574</v>
      </c>
      <c r="O11" s="37">
        <v>2.011574</v>
      </c>
      <c r="P11" s="55">
        <f t="shared" si="1"/>
        <v>4.0275054149409533</v>
      </c>
      <c r="Q11" s="8">
        <f t="shared" si="2"/>
        <v>2.0137527074704766</v>
      </c>
      <c r="R11" s="8">
        <f t="shared" si="3"/>
        <v>2.0137527074704766</v>
      </c>
      <c r="S11" s="55">
        <f t="shared" si="4"/>
        <v>4.3584149409534589E-3</v>
      </c>
      <c r="T11" s="8">
        <f t="shared" si="5"/>
        <v>2.1787074704766596E-3</v>
      </c>
      <c r="U11" s="56">
        <f t="shared" si="6"/>
        <v>2.1787074704766596E-3</v>
      </c>
    </row>
    <row r="12" spans="1:21" x14ac:dyDescent="0.3">
      <c r="A12" s="43">
        <v>0.4</v>
      </c>
      <c r="B12" s="43">
        <v>2.9831699999999999</v>
      </c>
      <c r="C12" s="37">
        <v>1.4915849999999999</v>
      </c>
      <c r="D12" s="37">
        <v>1.4915849999999999</v>
      </c>
      <c r="E12" s="55">
        <f>$L$38+$M$38*EXP(A12)</f>
        <v>2.9836493952825407</v>
      </c>
      <c r="F12" s="8">
        <f>3*$L$38+$N$38*EXP(A12)</f>
        <v>1.4918246976412703</v>
      </c>
      <c r="G12" s="8">
        <f>-$L$38+($M$38-$N$38)*EXP(A12)</f>
        <v>1.4918246976412703</v>
      </c>
      <c r="H12" s="55">
        <f>ABS(B12-E12)</f>
        <v>4.7939528254081765E-4</v>
      </c>
      <c r="I12" s="8">
        <f>ABS(C12-F12)</f>
        <v>2.3969764127040882E-4</v>
      </c>
      <c r="J12" s="56">
        <f>ABS(D12-G12)</f>
        <v>2.3969764127040882E-4</v>
      </c>
      <c r="L12" s="43">
        <v>0.8</v>
      </c>
      <c r="M12" s="43">
        <v>4.4455780000000003</v>
      </c>
      <c r="N12" s="37">
        <v>2.2227890000000001</v>
      </c>
      <c r="O12" s="37">
        <v>2.2227890000000001</v>
      </c>
      <c r="P12" s="55">
        <f t="shared" si="1"/>
        <v>4.4510818569849357</v>
      </c>
      <c r="Q12" s="8">
        <f t="shared" si="2"/>
        <v>2.2255409284924679</v>
      </c>
      <c r="R12" s="8">
        <f t="shared" si="3"/>
        <v>2.2255409284924679</v>
      </c>
      <c r="S12" s="55">
        <f t="shared" si="4"/>
        <v>5.5038569849354957E-3</v>
      </c>
      <c r="T12" s="8">
        <f t="shared" si="5"/>
        <v>2.7519284924677478E-3</v>
      </c>
      <c r="U12" s="56">
        <f t="shared" si="6"/>
        <v>2.7519284924677478E-3</v>
      </c>
    </row>
    <row r="13" spans="1:21" x14ac:dyDescent="0.3">
      <c r="A13" s="43">
        <v>0.45</v>
      </c>
      <c r="B13" s="43">
        <v>3.1360579999999998</v>
      </c>
      <c r="C13" s="37">
        <v>1.5680289999999999</v>
      </c>
      <c r="D13" s="37">
        <v>1.5680289999999999</v>
      </c>
      <c r="E13" s="55">
        <f>$L$38+$M$38*EXP(A13)</f>
        <v>3.1366243709803379</v>
      </c>
      <c r="F13" s="8">
        <f>3*$L$38+$N$38*EXP(A13)</f>
        <v>1.5683121854901689</v>
      </c>
      <c r="G13" s="8">
        <f>-$L$38+($M$38-$N$38)*EXP(A13)</f>
        <v>1.5683121854901689</v>
      </c>
      <c r="H13" s="55">
        <f>ABS(B13-E13)</f>
        <v>5.6637098033807121E-4</v>
      </c>
      <c r="I13" s="8">
        <f>ABS(C13-F13)</f>
        <v>2.831854901690356E-4</v>
      </c>
      <c r="J13" s="56">
        <f>ABS(D13-G13)</f>
        <v>2.831854901690356E-4</v>
      </c>
      <c r="L13" s="43">
        <v>0.9</v>
      </c>
      <c r="M13" s="43">
        <v>4.9123640000000002</v>
      </c>
      <c r="N13" s="37">
        <v>2.4561820000000001</v>
      </c>
      <c r="O13" s="37">
        <v>2.4561820000000001</v>
      </c>
      <c r="P13" s="55">
        <f t="shared" si="1"/>
        <v>4.9192062223138997</v>
      </c>
      <c r="Q13" s="8">
        <f t="shared" si="2"/>
        <v>2.4596031111569499</v>
      </c>
      <c r="R13" s="8">
        <f t="shared" si="3"/>
        <v>2.4596031111569499</v>
      </c>
      <c r="S13" s="55">
        <f t="shared" si="4"/>
        <v>6.8422223138995264E-3</v>
      </c>
      <c r="T13" s="8">
        <f t="shared" si="5"/>
        <v>3.4211111569497632E-3</v>
      </c>
      <c r="U13" s="56">
        <f t="shared" si="6"/>
        <v>3.4211111569497632E-3</v>
      </c>
    </row>
    <row r="14" spans="1:21" x14ac:dyDescent="0.3">
      <c r="A14" s="43">
        <v>0.5</v>
      </c>
      <c r="B14" s="43">
        <v>3.2967810000000002</v>
      </c>
      <c r="C14" s="37">
        <v>1.64839</v>
      </c>
      <c r="D14" s="37">
        <v>1.64839</v>
      </c>
      <c r="E14" s="55">
        <f>$L$38+$M$38*EXP(A14)</f>
        <v>3.2974425414002564</v>
      </c>
      <c r="F14" s="8">
        <f>3*$L$38+$N$38*EXP(A14)</f>
        <v>1.6487212707001282</v>
      </c>
      <c r="G14" s="8">
        <f>-$L$38+($M$38-$N$38)*EXP(A14)</f>
        <v>1.6487212707001282</v>
      </c>
      <c r="H14" s="55">
        <f>ABS(B14-E14)</f>
        <v>6.6154140025620478E-4</v>
      </c>
      <c r="I14" s="8">
        <f>ABS(C14-F14)</f>
        <v>3.3127070012817228E-4</v>
      </c>
      <c r="J14" s="56">
        <f>ABS(D14-G14)</f>
        <v>3.3127070012817228E-4</v>
      </c>
      <c r="L14" s="43">
        <v>1</v>
      </c>
      <c r="M14" s="43">
        <v>5.4281620000000004</v>
      </c>
      <c r="N14" s="37">
        <v>2.7140810000000002</v>
      </c>
      <c r="O14" s="37">
        <v>2.7140810000000002</v>
      </c>
      <c r="P14" s="55">
        <f t="shared" si="1"/>
        <v>5.4365636569180902</v>
      </c>
      <c r="Q14" s="8">
        <f t="shared" si="2"/>
        <v>2.7182818284590451</v>
      </c>
      <c r="R14" s="8">
        <f t="shared" si="3"/>
        <v>2.7182818284590451</v>
      </c>
      <c r="S14" s="55">
        <f t="shared" si="4"/>
        <v>8.401656918089806E-3</v>
      </c>
      <c r="T14" s="8">
        <f t="shared" si="5"/>
        <v>4.200828459044903E-3</v>
      </c>
      <c r="U14" s="56">
        <f t="shared" si="6"/>
        <v>4.200828459044903E-3</v>
      </c>
    </row>
    <row r="15" spans="1:21" x14ac:dyDescent="0.3">
      <c r="A15" s="43">
        <v>0.55000000000000004</v>
      </c>
      <c r="B15" s="43">
        <v>3.465741</v>
      </c>
      <c r="C15" s="37">
        <v>1.7328699999999999</v>
      </c>
      <c r="D15" s="37">
        <v>1.7328699999999999</v>
      </c>
      <c r="E15" s="55">
        <f>$L$38+$M$38*EXP(A15)</f>
        <v>3.4665060357347905</v>
      </c>
      <c r="F15" s="8">
        <f>3*$L$38+$N$38*EXP(A15)</f>
        <v>1.7332530178673953</v>
      </c>
      <c r="G15" s="8">
        <f>-$L$38+($M$38-$N$38)*EXP(A15)</f>
        <v>1.7332530178673953</v>
      </c>
      <c r="H15" s="55">
        <f>ABS(B15-E15)</f>
        <v>7.6503573479058673E-4</v>
      </c>
      <c r="I15" s="8">
        <f>ABS(C15-F15)</f>
        <v>3.8301786739536325E-4</v>
      </c>
      <c r="J15" s="56">
        <f>ABS(D15-G15)</f>
        <v>3.8301786739536325E-4</v>
      </c>
      <c r="L15" s="43">
        <v>1.1000000000000001</v>
      </c>
      <c r="M15" s="43">
        <v>5.998119</v>
      </c>
      <c r="N15" s="37">
        <v>2.9990589999999999</v>
      </c>
      <c r="O15" s="37">
        <v>2.9990589999999999</v>
      </c>
      <c r="P15" s="55">
        <f t="shared" si="1"/>
        <v>6.0083320478928668</v>
      </c>
      <c r="Q15" s="8">
        <f t="shared" si="2"/>
        <v>3.0041660239464334</v>
      </c>
      <c r="R15" s="8">
        <f t="shared" si="3"/>
        <v>3.0041660239464334</v>
      </c>
      <c r="S15" s="55">
        <f t="shared" si="4"/>
        <v>1.0213047892866811E-2</v>
      </c>
      <c r="T15" s="8">
        <f t="shared" si="5"/>
        <v>5.1070239464334755E-3</v>
      </c>
      <c r="U15" s="56">
        <f t="shared" si="6"/>
        <v>5.1070239464334755E-3</v>
      </c>
    </row>
    <row r="16" spans="1:21" x14ac:dyDescent="0.3">
      <c r="A16" s="43">
        <v>0.6</v>
      </c>
      <c r="B16" s="43">
        <v>3.6433599999999999</v>
      </c>
      <c r="C16" s="37">
        <v>1.82168</v>
      </c>
      <c r="D16" s="37">
        <v>1.82168</v>
      </c>
      <c r="E16" s="55">
        <f>$L$38+$M$38*EXP(A16)</f>
        <v>3.6442376007810178</v>
      </c>
      <c r="F16" s="8">
        <f>3*$L$38+$N$38*EXP(A16)</f>
        <v>1.8221188003905089</v>
      </c>
      <c r="G16" s="8">
        <f>-$L$38+($M$38-$N$38)*EXP(A16)</f>
        <v>1.8221188003905089</v>
      </c>
      <c r="H16" s="55">
        <f>ABS(B16-E16)</f>
        <v>8.7760078101783989E-4</v>
      </c>
      <c r="I16" s="8">
        <f>ABS(C16-F16)</f>
        <v>4.3880039050891995E-4</v>
      </c>
      <c r="J16" s="56">
        <f>ABS(D16-G16)</f>
        <v>4.3880039050891995E-4</v>
      </c>
      <c r="L16" s="43">
        <v>1.2</v>
      </c>
      <c r="M16" s="43">
        <v>6.6279209999999997</v>
      </c>
      <c r="N16" s="37">
        <v>3.3139609999999999</v>
      </c>
      <c r="O16" s="37">
        <v>3.3139609999999999</v>
      </c>
      <c r="P16" s="55">
        <f t="shared" si="1"/>
        <v>6.6402338454730945</v>
      </c>
      <c r="Q16" s="8">
        <f t="shared" si="2"/>
        <v>3.3201169227365472</v>
      </c>
      <c r="R16" s="8">
        <f t="shared" si="3"/>
        <v>3.3201169227365472</v>
      </c>
      <c r="S16" s="55">
        <f t="shared" si="4"/>
        <v>1.2312845473094747E-2</v>
      </c>
      <c r="T16" s="8">
        <f t="shared" si="5"/>
        <v>6.1559227365473035E-3</v>
      </c>
      <c r="U16" s="56">
        <f t="shared" si="6"/>
        <v>6.1559227365473035E-3</v>
      </c>
    </row>
    <row r="17" spans="1:21" x14ac:dyDescent="0.3">
      <c r="A17" s="43">
        <v>0.65</v>
      </c>
      <c r="B17" s="43">
        <v>3.830082</v>
      </c>
      <c r="C17" s="37">
        <v>1.915041</v>
      </c>
      <c r="D17" s="37">
        <v>1.915041</v>
      </c>
      <c r="E17" s="55">
        <f>$L$38+$M$38*EXP(A17)</f>
        <v>3.8310816580277924</v>
      </c>
      <c r="F17" s="8">
        <f>3*$L$38+$N$38*EXP(A17)</f>
        <v>1.9155408290138962</v>
      </c>
      <c r="G17" s="8">
        <f>-$L$38+($M$38-$N$38)*EXP(A17)</f>
        <v>1.9155408290138962</v>
      </c>
      <c r="H17" s="55">
        <f>ABS(B17-E17)</f>
        <v>9.9965802779244939E-4</v>
      </c>
      <c r="I17" s="8">
        <f>ABS(C17-F17)</f>
        <v>4.9982901389622469E-4</v>
      </c>
      <c r="J17" s="56">
        <f>ABS(D17-G17)</f>
        <v>4.9982901389622469E-4</v>
      </c>
      <c r="L17" s="43">
        <v>1.3</v>
      </c>
      <c r="M17" s="43">
        <v>7.3238529999999997</v>
      </c>
      <c r="N17" s="37">
        <v>3.6619259999999998</v>
      </c>
      <c r="O17" s="37">
        <v>3.6619259999999998</v>
      </c>
      <c r="P17" s="55">
        <f t="shared" si="1"/>
        <v>7.3385933352384889</v>
      </c>
      <c r="Q17" s="8">
        <f t="shared" si="2"/>
        <v>3.6692966676192444</v>
      </c>
      <c r="R17" s="8">
        <f t="shared" si="3"/>
        <v>3.6692966676192444</v>
      </c>
      <c r="S17" s="55">
        <f t="shared" si="4"/>
        <v>1.4740335238489166E-2</v>
      </c>
      <c r="T17" s="8">
        <f t="shared" si="5"/>
        <v>7.370667619244653E-3</v>
      </c>
      <c r="U17" s="56">
        <f t="shared" si="6"/>
        <v>7.370667619244653E-3</v>
      </c>
    </row>
    <row r="18" spans="1:21" x14ac:dyDescent="0.3">
      <c r="A18" s="43">
        <v>0.7</v>
      </c>
      <c r="B18" s="43">
        <v>4.0263739999999997</v>
      </c>
      <c r="C18" s="37">
        <v>2.0131869999999998</v>
      </c>
      <c r="D18" s="37">
        <v>2.0131869999999998</v>
      </c>
      <c r="E18" s="55">
        <f>$L$38+$M$38*EXP(A18)</f>
        <v>4.0275054149409533</v>
      </c>
      <c r="F18" s="8">
        <f>3*$L$38+$N$38*EXP(A18)</f>
        <v>2.0137527074704766</v>
      </c>
      <c r="G18" s="8">
        <f>-$L$38+($M$38-$N$38)*EXP(A18)</f>
        <v>2.0137527074704766</v>
      </c>
      <c r="H18" s="55">
        <f>ABS(B18-E18)</f>
        <v>1.1314149409535901E-3</v>
      </c>
      <c r="I18" s="8">
        <f>ABS(C18-F18)</f>
        <v>5.6570747047679504E-4</v>
      </c>
      <c r="J18" s="56">
        <f>ABS(D18-G18)</f>
        <v>5.6570747047679504E-4</v>
      </c>
      <c r="L18" s="43">
        <v>1.4</v>
      </c>
      <c r="M18" s="43">
        <v>8.0928570000000004</v>
      </c>
      <c r="N18" s="37">
        <v>4.0464289999999998</v>
      </c>
      <c r="O18" s="37">
        <v>4.0464289999999998</v>
      </c>
      <c r="P18" s="55">
        <f t="shared" si="1"/>
        <v>8.1103999336893491</v>
      </c>
      <c r="Q18" s="8">
        <f t="shared" si="2"/>
        <v>4.0551999668446745</v>
      </c>
      <c r="R18" s="8">
        <f t="shared" si="3"/>
        <v>4.0551999668446745</v>
      </c>
      <c r="S18" s="55">
        <f t="shared" si="4"/>
        <v>1.7542933689348672E-2</v>
      </c>
      <c r="T18" s="8">
        <f t="shared" si="5"/>
        <v>8.7709668446747102E-3</v>
      </c>
      <c r="U18" s="56">
        <f t="shared" si="6"/>
        <v>8.7709668446747102E-3</v>
      </c>
    </row>
    <row r="19" spans="1:21" x14ac:dyDescent="0.3">
      <c r="A19" s="43">
        <v>0.75</v>
      </c>
      <c r="B19" s="43">
        <v>4.2327260000000004</v>
      </c>
      <c r="C19" s="37">
        <v>2.1163630000000002</v>
      </c>
      <c r="D19" s="37">
        <v>2.1163630000000002</v>
      </c>
      <c r="E19" s="55">
        <f>$L$38+$M$38*EXP(A19)</f>
        <v>4.2340000332253496</v>
      </c>
      <c r="F19" s="8">
        <f>3*$L$38+$N$38*EXP(A19)</f>
        <v>2.1170000166126748</v>
      </c>
      <c r="G19" s="8">
        <f>-$L$38+($M$38-$N$38)*EXP(A19)</f>
        <v>2.1170000166126748</v>
      </c>
      <c r="H19" s="55">
        <f>ABS(B19-E19)</f>
        <v>1.274033225349136E-3</v>
      </c>
      <c r="I19" s="8">
        <f>ABS(C19-F19)</f>
        <v>6.3701661267456799E-4</v>
      </c>
      <c r="J19" s="56">
        <f>ABS(D19-G19)</f>
        <v>6.3701661267456799E-4</v>
      </c>
      <c r="L19" s="43">
        <v>1.5</v>
      </c>
      <c r="M19" s="43">
        <v>8.9426070000000006</v>
      </c>
      <c r="N19" s="37">
        <v>4.4713039999999999</v>
      </c>
      <c r="O19" s="37">
        <v>4.4713039999999999</v>
      </c>
      <c r="P19" s="55">
        <f t="shared" si="1"/>
        <v>8.963378140676129</v>
      </c>
      <c r="Q19" s="8">
        <f t="shared" si="2"/>
        <v>4.4816890703380645</v>
      </c>
      <c r="R19" s="8">
        <f t="shared" si="3"/>
        <v>4.4816890703380645</v>
      </c>
      <c r="S19" s="55">
        <f t="shared" si="4"/>
        <v>2.0771140676128397E-2</v>
      </c>
      <c r="T19" s="8">
        <f t="shared" si="5"/>
        <v>1.0385070338064573E-2</v>
      </c>
      <c r="U19" s="56">
        <f t="shared" si="6"/>
        <v>1.0385070338064573E-2</v>
      </c>
    </row>
    <row r="20" spans="1:21" x14ac:dyDescent="0.3">
      <c r="A20" s="43">
        <v>0.8</v>
      </c>
      <c r="B20" s="43">
        <v>4.4496529999999996</v>
      </c>
      <c r="C20" s="37">
        <v>2.2248260000000002</v>
      </c>
      <c r="D20" s="37">
        <v>2.2248260000000002</v>
      </c>
      <c r="E20" s="55">
        <f>$L$38+$M$38*EXP(A20)</f>
        <v>4.4510818569849357</v>
      </c>
      <c r="F20" s="8">
        <f>3*$L$38+$N$38*EXP(A20)</f>
        <v>2.2255409284924679</v>
      </c>
      <c r="G20" s="8">
        <f>-$L$38+($M$38-$N$38)*EXP(A20)</f>
        <v>2.2255409284924679</v>
      </c>
      <c r="H20" s="55">
        <f>ABS(B20-E20)</f>
        <v>1.428856984936111E-3</v>
      </c>
      <c r="I20" s="8">
        <f>ABS(C20-F20)</f>
        <v>7.1492849246768131E-4</v>
      </c>
      <c r="J20" s="56">
        <f>ABS(D20-G20)</f>
        <v>7.1492849246768131E-4</v>
      </c>
      <c r="L20" s="43">
        <v>1.6</v>
      </c>
      <c r="M20" s="43">
        <v>9.8815810000000006</v>
      </c>
      <c r="N20" s="37">
        <v>4.9407909999999999</v>
      </c>
      <c r="O20" s="37">
        <v>4.9407909999999999</v>
      </c>
      <c r="P20" s="55">
        <f t="shared" si="1"/>
        <v>9.9060648487902299</v>
      </c>
      <c r="Q20" s="8">
        <f t="shared" si="2"/>
        <v>4.9530324243951149</v>
      </c>
      <c r="R20" s="8">
        <f t="shared" si="3"/>
        <v>4.9530324243951149</v>
      </c>
      <c r="S20" s="55">
        <f t="shared" si="4"/>
        <v>2.4483848790229246E-2</v>
      </c>
      <c r="T20" s="8">
        <f t="shared" si="5"/>
        <v>1.2241424395114997E-2</v>
      </c>
      <c r="U20" s="56">
        <f t="shared" si="6"/>
        <v>1.2241424395114997E-2</v>
      </c>
    </row>
    <row r="21" spans="1:21" x14ac:dyDescent="0.3">
      <c r="A21" s="43">
        <v>0.85</v>
      </c>
      <c r="B21" s="43">
        <v>4.6776980000000004</v>
      </c>
      <c r="C21" s="37">
        <v>2.3388490000000002</v>
      </c>
      <c r="D21" s="37">
        <v>2.3388490000000002</v>
      </c>
      <c r="E21" s="55">
        <f>$L$38+$M$38*EXP(A21)</f>
        <v>4.6792937038519815</v>
      </c>
      <c r="F21" s="8">
        <f>3*$L$38+$N$38*EXP(A21)</f>
        <v>2.3396468519259908</v>
      </c>
      <c r="G21" s="8">
        <f>-$L$38+($M$38-$N$38)*EXP(A21)</f>
        <v>2.3396468519259908</v>
      </c>
      <c r="H21" s="55">
        <f>ABS(B21-E21)</f>
        <v>1.5957038519811562E-3</v>
      </c>
      <c r="I21" s="8">
        <f>ABS(C21-F21)</f>
        <v>7.9785192599057808E-4</v>
      </c>
      <c r="J21" s="56">
        <f>ABS(D21-G21)</f>
        <v>7.9785192599057808E-4</v>
      </c>
      <c r="L21" s="43">
        <v>1.7</v>
      </c>
      <c r="M21" s="43">
        <v>10.919147000000001</v>
      </c>
      <c r="N21" s="37">
        <v>5.4595739999999999</v>
      </c>
      <c r="O21" s="37">
        <v>5.4595739999999999</v>
      </c>
      <c r="P21" s="55">
        <f t="shared" si="1"/>
        <v>10.9478947834544</v>
      </c>
      <c r="Q21" s="8">
        <f t="shared" si="2"/>
        <v>5.4739473917271999</v>
      </c>
      <c r="R21" s="8">
        <f t="shared" si="3"/>
        <v>5.4739473917271999</v>
      </c>
      <c r="S21" s="55">
        <f t="shared" si="4"/>
        <v>2.8747783454399212E-2</v>
      </c>
      <c r="T21" s="8">
        <f t="shared" si="5"/>
        <v>1.437339172719998E-2</v>
      </c>
      <c r="U21" s="56">
        <f t="shared" si="6"/>
        <v>1.437339172719998E-2</v>
      </c>
    </row>
    <row r="22" spans="1:21" x14ac:dyDescent="0.3">
      <c r="A22" s="43">
        <v>0.9</v>
      </c>
      <c r="B22" s="43">
        <v>4.9174300000000004</v>
      </c>
      <c r="C22" s="37">
        <v>2.4587150000000002</v>
      </c>
      <c r="D22" s="37">
        <v>2.4587150000000002</v>
      </c>
      <c r="E22" s="55">
        <f>$L$38+$M$38*EXP(A22)</f>
        <v>4.9192062223138997</v>
      </c>
      <c r="F22" s="8">
        <f>3*$L$38+$N$38*EXP(A22)</f>
        <v>2.4596031111569499</v>
      </c>
      <c r="G22" s="8">
        <f>-$L$38+($M$38-$N$38)*EXP(A22)</f>
        <v>2.4596031111569499</v>
      </c>
      <c r="H22" s="55">
        <f>ABS(B22-E22)</f>
        <v>1.7762223138992894E-3</v>
      </c>
      <c r="I22" s="8">
        <f>ABS(C22-F22)</f>
        <v>8.8811115694964471E-4</v>
      </c>
      <c r="J22" s="56">
        <f>ABS(D22-G22)</f>
        <v>8.8811115694964471E-4</v>
      </c>
      <c r="L22" s="43">
        <v>1.8</v>
      </c>
      <c r="M22" s="43">
        <v>12.065658000000001</v>
      </c>
      <c r="N22" s="37">
        <v>6.0328290000000004</v>
      </c>
      <c r="O22" s="37">
        <v>6.0328290000000004</v>
      </c>
      <c r="P22" s="55">
        <f t="shared" si="1"/>
        <v>12.099294928825893</v>
      </c>
      <c r="Q22" s="8">
        <f t="shared" si="2"/>
        <v>6.0496474644129465</v>
      </c>
      <c r="R22" s="8">
        <f t="shared" si="3"/>
        <v>6.0496474644129465</v>
      </c>
      <c r="S22" s="55">
        <f t="shared" si="4"/>
        <v>3.3636928825892198E-2</v>
      </c>
      <c r="T22" s="8">
        <f t="shared" si="5"/>
        <v>1.6818464412946099E-2</v>
      </c>
      <c r="U22" s="56">
        <f t="shared" si="6"/>
        <v>1.6818464412946099E-2</v>
      </c>
    </row>
    <row r="23" spans="1:21" x14ac:dyDescent="0.3">
      <c r="A23" s="43">
        <v>0.95</v>
      </c>
      <c r="B23" s="43">
        <v>5.169448</v>
      </c>
      <c r="C23" s="37">
        <v>2.584724</v>
      </c>
      <c r="D23" s="37">
        <v>2.584724</v>
      </c>
      <c r="E23" s="55">
        <f>$L$38+$M$38*EXP(A23)</f>
        <v>5.1714193186316919</v>
      </c>
      <c r="F23" s="8">
        <f>3*$L$38+$N$38*EXP(A23)</f>
        <v>2.585709659315846</v>
      </c>
      <c r="G23" s="8">
        <f>-$L$38+($M$38-$N$38)*EXP(A23)</f>
        <v>2.585709659315846</v>
      </c>
      <c r="H23" s="55">
        <f>ABS(B23-E23)</f>
        <v>1.9713186316918652E-3</v>
      </c>
      <c r="I23" s="8">
        <f>ABS(C23-F23)</f>
        <v>9.8565931584593258E-4</v>
      </c>
      <c r="J23" s="56">
        <f>ABS(D23-G23)</f>
        <v>9.8565931584593258E-4</v>
      </c>
      <c r="L23" s="43">
        <v>1.9</v>
      </c>
      <c r="M23" s="43">
        <v>13.332552</v>
      </c>
      <c r="N23" s="37">
        <v>6.6662759999999999</v>
      </c>
      <c r="O23" s="37">
        <v>6.6662759999999999</v>
      </c>
      <c r="P23" s="55">
        <f t="shared" si="1"/>
        <v>13.371788884558537</v>
      </c>
      <c r="Q23" s="8">
        <f t="shared" si="2"/>
        <v>6.6858944422792685</v>
      </c>
      <c r="R23" s="8">
        <f t="shared" si="3"/>
        <v>6.6858944422792685</v>
      </c>
      <c r="S23" s="55">
        <f t="shared" si="4"/>
        <v>3.9236884558537355E-2</v>
      </c>
      <c r="T23" s="8">
        <f t="shared" si="5"/>
        <v>1.9618442279268677E-2</v>
      </c>
      <c r="U23" s="56">
        <f t="shared" si="6"/>
        <v>1.9618442279268677E-2</v>
      </c>
    </row>
    <row r="24" spans="1:21" x14ac:dyDescent="0.3">
      <c r="A24" s="43">
        <v>1</v>
      </c>
      <c r="B24" s="43">
        <v>5.4343820000000003</v>
      </c>
      <c r="C24" s="37">
        <v>2.7171910000000001</v>
      </c>
      <c r="D24" s="37">
        <v>2.7171910000000001</v>
      </c>
      <c r="E24" s="55">
        <f>$L$38+$M$38*EXP(A24)</f>
        <v>5.4365636569180902</v>
      </c>
      <c r="F24" s="8">
        <f>3*$L$38+$N$38*EXP(A24)</f>
        <v>2.7182818284590451</v>
      </c>
      <c r="G24" s="8">
        <f>-$L$38+($M$38-$N$38)*EXP(A24)</f>
        <v>2.7182818284590451</v>
      </c>
      <c r="H24" s="55">
        <f>ABS(B24-E24)</f>
        <v>2.1816569180899137E-3</v>
      </c>
      <c r="I24" s="8">
        <f>ABS(C24-F24)</f>
        <v>1.0908284590449568E-3</v>
      </c>
      <c r="J24" s="56">
        <f>ABS(D24-G24)</f>
        <v>1.0908284590449568E-3</v>
      </c>
      <c r="L24" s="43">
        <v>2</v>
      </c>
      <c r="M24" s="43">
        <v>14.732469999999999</v>
      </c>
      <c r="N24" s="37">
        <v>7.3662349999999996</v>
      </c>
      <c r="O24" s="37">
        <v>7.3662349999999996</v>
      </c>
      <c r="P24" s="55">
        <f>$L$38+$M$38*EXP(L24)</f>
        <v>14.778112197861301</v>
      </c>
      <c r="Q24" s="8">
        <f>3*$L$38+$N$38*EXP(L24)</f>
        <v>7.3890560989306504</v>
      </c>
      <c r="R24" s="8">
        <f t="shared" si="3"/>
        <v>7.3890560989306504</v>
      </c>
      <c r="S24" s="55">
        <f t="shared" si="4"/>
        <v>4.5642197861301526E-2</v>
      </c>
      <c r="T24" s="8">
        <f t="shared" si="5"/>
        <v>2.2821098930650763E-2</v>
      </c>
      <c r="U24" s="56">
        <f t="shared" si="6"/>
        <v>2.2821098930650763E-2</v>
      </c>
    </row>
    <row r="25" spans="1:21" x14ac:dyDescent="0.3">
      <c r="A25" s="43">
        <v>1.05</v>
      </c>
      <c r="B25" s="43">
        <v>5.7128940000000004</v>
      </c>
      <c r="C25" s="37">
        <v>2.8564470000000002</v>
      </c>
      <c r="D25" s="37">
        <v>2.8564470000000002</v>
      </c>
      <c r="E25" s="55">
        <f>$L$38+$M$38*EXP(A25)</f>
        <v>5.7153022361263277</v>
      </c>
      <c r="F25" s="8">
        <f>3*$L$38+$N$38*EXP(A25)</f>
        <v>2.8576511180631639</v>
      </c>
      <c r="G25" s="8">
        <f>-$L$38+($M$38-$N$38)*EXP(A25)</f>
        <v>2.8576511180631639</v>
      </c>
      <c r="H25" s="55">
        <f>ABS(B25-E25)</f>
        <v>2.4082361263273455E-3</v>
      </c>
      <c r="I25" s="8">
        <f>ABS(C25-F25)</f>
        <v>1.2041180631636728E-3</v>
      </c>
      <c r="J25" s="56">
        <f>ABS(D25-G25)</f>
        <v>1.2041180631636728E-3</v>
      </c>
      <c r="L25" s="43">
        <v>2.1</v>
      </c>
      <c r="M25" s="43">
        <v>16.279378999999999</v>
      </c>
      <c r="N25" s="37">
        <v>8.1396899999999999</v>
      </c>
      <c r="O25" s="37">
        <v>8.1396899999999999</v>
      </c>
      <c r="P25" s="55">
        <f t="shared" si="1"/>
        <v>16.332339825135303</v>
      </c>
      <c r="Q25" s="8">
        <f t="shared" si="2"/>
        <v>8.1661699125676517</v>
      </c>
      <c r="R25" s="8">
        <f t="shared" si="3"/>
        <v>8.1661699125676517</v>
      </c>
      <c r="S25" s="55">
        <f t="shared" si="4"/>
        <v>5.2960825135304646E-2</v>
      </c>
      <c r="T25" s="8">
        <f t="shared" si="5"/>
        <v>2.6479912567651809E-2</v>
      </c>
      <c r="U25" s="56">
        <f t="shared" si="6"/>
        <v>2.6479912567651809E-2</v>
      </c>
    </row>
    <row r="26" spans="1:21" x14ac:dyDescent="0.3">
      <c r="A26" s="43">
        <v>1.1000000000000001</v>
      </c>
      <c r="B26" s="43">
        <v>6.0056799999999999</v>
      </c>
      <c r="C26" s="37">
        <v>3.00284</v>
      </c>
      <c r="D26" s="37">
        <v>3.00284</v>
      </c>
      <c r="E26" s="55">
        <f>$L$38+$M$38*EXP(A26)</f>
        <v>6.0083320478928668</v>
      </c>
      <c r="F26" s="8">
        <f>3*$L$38+$N$38*EXP(A26)</f>
        <v>3.0041660239464334</v>
      </c>
      <c r="G26" s="8">
        <f>-$L$38+($M$38-$N$38)*EXP(A26)</f>
        <v>3.0041660239464334</v>
      </c>
      <c r="H26" s="55">
        <f>ABS(B26-E26)</f>
        <v>2.6520478928668823E-3</v>
      </c>
      <c r="I26" s="8">
        <f>ABS(C26-F26)</f>
        <v>1.3260239464334411E-3</v>
      </c>
      <c r="J26" s="56">
        <f>ABS(D26-G26)</f>
        <v>1.3260239464334411E-3</v>
      </c>
      <c r="L26" s="43">
        <v>2.2000000000000002</v>
      </c>
      <c r="M26" s="43">
        <v>17.988714000000002</v>
      </c>
      <c r="N26" s="37">
        <v>8.9943570000000008</v>
      </c>
      <c r="O26" s="37">
        <v>8.9943570000000008</v>
      </c>
      <c r="P26" s="55">
        <f t="shared" si="1"/>
        <v>18.050026998868244</v>
      </c>
      <c r="Q26" s="8">
        <f t="shared" si="2"/>
        <v>9.025013499434122</v>
      </c>
      <c r="R26" s="8">
        <f t="shared" si="3"/>
        <v>9.025013499434122</v>
      </c>
      <c r="S26" s="55">
        <f t="shared" si="4"/>
        <v>6.1312998868242374E-2</v>
      </c>
      <c r="T26" s="8">
        <f t="shared" si="5"/>
        <v>3.0656499434121187E-2</v>
      </c>
      <c r="U26" s="56">
        <f t="shared" si="6"/>
        <v>3.0656499434121187E-2</v>
      </c>
    </row>
    <row r="27" spans="1:21" x14ac:dyDescent="0.3">
      <c r="A27" s="43">
        <v>1.1499999999999999</v>
      </c>
      <c r="B27" s="43">
        <v>6.3134709999999998</v>
      </c>
      <c r="C27" s="37">
        <v>3.156736</v>
      </c>
      <c r="D27" s="37">
        <v>3.156736</v>
      </c>
      <c r="E27" s="55">
        <f>$L$38+$M$38*EXP(A27)</f>
        <v>6.3163858193795344</v>
      </c>
      <c r="F27" s="8">
        <f>3*$L$38+$N$38*EXP(A27)</f>
        <v>3.1581929096897672</v>
      </c>
      <c r="G27" s="8">
        <f>-$L$38+($M$38-$N$38)*EXP(A27)</f>
        <v>3.1581929096897672</v>
      </c>
      <c r="H27" s="55">
        <f>ABS(B27-E27)</f>
        <v>2.9148193795345279E-3</v>
      </c>
      <c r="I27" s="8">
        <f>ABS(C27-F27)</f>
        <v>1.456909689767194E-3</v>
      </c>
      <c r="J27" s="56">
        <f>ABS(D27-G27)</f>
        <v>1.456909689767194E-3</v>
      </c>
      <c r="L27" s="43">
        <v>2.2999999999999998</v>
      </c>
      <c r="M27" s="43">
        <v>19.877528999999999</v>
      </c>
      <c r="N27" s="37">
        <v>9.9387640000000008</v>
      </c>
      <c r="O27" s="37">
        <v>9.9387640000000008</v>
      </c>
      <c r="P27" s="55">
        <f t="shared" si="1"/>
        <v>19.948364909629436</v>
      </c>
      <c r="Q27" s="8">
        <f t="shared" si="2"/>
        <v>9.9741824548147182</v>
      </c>
      <c r="R27" s="8">
        <f t="shared" si="3"/>
        <v>9.9741824548147182</v>
      </c>
      <c r="S27" s="55">
        <f t="shared" si="4"/>
        <v>7.083590962943731E-2</v>
      </c>
      <c r="T27" s="8">
        <f t="shared" si="5"/>
        <v>3.5418454814717393E-2</v>
      </c>
      <c r="U27" s="56">
        <f t="shared" si="6"/>
        <v>3.5418454814717393E-2</v>
      </c>
    </row>
    <row r="28" spans="1:21" x14ac:dyDescent="0.3">
      <c r="A28" s="43">
        <v>1.2</v>
      </c>
      <c r="B28" s="43">
        <v>6.6370370000000003</v>
      </c>
      <c r="C28" s="37">
        <v>3.3185180000000001</v>
      </c>
      <c r="D28" s="37">
        <v>3.3185180000000001</v>
      </c>
      <c r="E28" s="55">
        <f>$L$38+$M$38*EXP(A28)</f>
        <v>6.6402338454730945</v>
      </c>
      <c r="F28" s="8">
        <f>3*$L$38+$N$38*EXP(A28)</f>
        <v>3.3201169227365472</v>
      </c>
      <c r="G28" s="8">
        <f>-$L$38+($M$38-$N$38)*EXP(A28)</f>
        <v>3.3201169227365472</v>
      </c>
      <c r="H28" s="55">
        <f>ABS(B28-E28)</f>
        <v>3.1968454730941787E-3</v>
      </c>
      <c r="I28" s="8">
        <f>ABS(C28-F28)</f>
        <v>1.5989227365471592E-3</v>
      </c>
      <c r="J28" s="56">
        <f>ABS(D28-G28)</f>
        <v>1.5989227365471592E-3</v>
      </c>
      <c r="L28" s="43">
        <v>2.4</v>
      </c>
      <c r="M28" s="43">
        <v>21.964669000000001</v>
      </c>
      <c r="N28" s="37">
        <v>10.982335000000001</v>
      </c>
      <c r="O28" s="37">
        <v>10.982335000000001</v>
      </c>
      <c r="P28" s="55">
        <f t="shared" si="1"/>
        <v>22.046352761283202</v>
      </c>
      <c r="Q28" s="8">
        <f t="shared" si="2"/>
        <v>11.023176380641601</v>
      </c>
      <c r="R28" s="8">
        <f t="shared" si="3"/>
        <v>11.023176380641601</v>
      </c>
      <c r="S28" s="55">
        <f t="shared" si="4"/>
        <v>8.1683761283201761E-2</v>
      </c>
      <c r="T28" s="8">
        <f t="shared" si="5"/>
        <v>4.0841380641600367E-2</v>
      </c>
      <c r="U28" s="56">
        <f t="shared" si="6"/>
        <v>4.0841380641600367E-2</v>
      </c>
    </row>
    <row r="29" spans="1:21" x14ac:dyDescent="0.3">
      <c r="A29" s="43">
        <v>1.25</v>
      </c>
      <c r="B29" s="43">
        <v>6.9771850000000004</v>
      </c>
      <c r="C29" s="37">
        <v>3.4885920000000001</v>
      </c>
      <c r="D29" s="37">
        <v>3.4885920000000001</v>
      </c>
      <c r="E29" s="55">
        <f>$L$38+$M$38*EXP(A29)</f>
        <v>6.9806859149236828</v>
      </c>
      <c r="F29" s="8">
        <f>3*$L$38+$N$38*EXP(A29)</f>
        <v>3.4903429574618414</v>
      </c>
      <c r="G29" s="8">
        <f>-$L$38+($M$38-$N$38)*EXP(A29)</f>
        <v>3.4903429574618414</v>
      </c>
      <c r="H29" s="55">
        <f>ABS(B29-E29)</f>
        <v>3.50091492368243E-3</v>
      </c>
      <c r="I29" s="8">
        <f>ABS(C29-F29)</f>
        <v>1.7509574618412849E-3</v>
      </c>
      <c r="J29" s="56">
        <f>ABS(D29-G29)</f>
        <v>1.7509574618412849E-3</v>
      </c>
      <c r="L29" s="43">
        <v>2.5</v>
      </c>
      <c r="M29" s="43">
        <v>24.270959999999999</v>
      </c>
      <c r="N29" s="37">
        <v>12.135479999999999</v>
      </c>
      <c r="O29" s="37">
        <v>12.135479999999999</v>
      </c>
      <c r="P29" s="55">
        <f t="shared" si="1"/>
        <v>24.364987921406946</v>
      </c>
      <c r="Q29" s="8">
        <f t="shared" si="2"/>
        <v>12.182493960703473</v>
      </c>
      <c r="R29" s="8">
        <f t="shared" si="3"/>
        <v>12.182493960703473</v>
      </c>
      <c r="S29" s="55">
        <f t="shared" si="4"/>
        <v>9.4027921406947712E-2</v>
      </c>
      <c r="T29" s="8">
        <f t="shared" si="5"/>
        <v>4.7013960703473856E-2</v>
      </c>
      <c r="U29" s="56">
        <f t="shared" si="6"/>
        <v>4.7013960703473856E-2</v>
      </c>
    </row>
    <row r="30" spans="1:21" x14ac:dyDescent="0.3">
      <c r="A30" s="43">
        <v>1.3</v>
      </c>
      <c r="B30" s="43">
        <v>7.334765</v>
      </c>
      <c r="C30" s="37">
        <v>3.6673830000000001</v>
      </c>
      <c r="D30" s="37">
        <v>3.6673830000000001</v>
      </c>
      <c r="E30" s="55">
        <f>$L$38+$M$38*EXP(A30)</f>
        <v>7.3385933352384889</v>
      </c>
      <c r="F30" s="8">
        <f>3*$L$38+$N$38*EXP(A30)</f>
        <v>3.6692966676192444</v>
      </c>
      <c r="G30" s="8">
        <f>-$L$38+($M$38-$N$38)*EXP(A30)</f>
        <v>3.6692966676192444</v>
      </c>
      <c r="H30" s="55">
        <f>ABS(B30-E30)</f>
        <v>3.8283352384889113E-3</v>
      </c>
      <c r="I30" s="8">
        <f>ABS(C30-F30)</f>
        <v>1.9136676192443858E-3</v>
      </c>
      <c r="J30" s="56">
        <f>ABS(D30-G30)</f>
        <v>1.9136676192443858E-3</v>
      </c>
      <c r="L30" s="43">
        <v>2.6</v>
      </c>
      <c r="M30" s="43">
        <v>26.819410000000001</v>
      </c>
      <c r="N30" s="37">
        <v>13.409705000000001</v>
      </c>
      <c r="O30" s="37">
        <v>13.409705000000001</v>
      </c>
      <c r="P30" s="55">
        <f t="shared" si="1"/>
        <v>26.927476070003383</v>
      </c>
      <c r="Q30" s="8">
        <f t="shared" si="2"/>
        <v>13.463738035001692</v>
      </c>
      <c r="R30" s="8">
        <f t="shared" si="3"/>
        <v>13.463738035001692</v>
      </c>
      <c r="S30" s="55">
        <f t="shared" si="4"/>
        <v>0.10806607000338175</v>
      </c>
      <c r="T30" s="8">
        <f t="shared" si="5"/>
        <v>5.4033035001690877E-2</v>
      </c>
      <c r="U30" s="56">
        <f t="shared" si="6"/>
        <v>5.4033035001690877E-2</v>
      </c>
    </row>
    <row r="31" spans="1:21" x14ac:dyDescent="0.3">
      <c r="A31" s="43">
        <v>1.35</v>
      </c>
      <c r="B31" s="43">
        <v>7.7106719999999997</v>
      </c>
      <c r="C31" s="37">
        <v>3.8553359999999999</v>
      </c>
      <c r="D31" s="37">
        <v>3.8553359999999999</v>
      </c>
      <c r="E31" s="55">
        <f>$L$38+$M$38*EXP(A31)</f>
        <v>7.7148510613939489</v>
      </c>
      <c r="F31" s="8">
        <f>3*$L$38+$N$38*EXP(A31)</f>
        <v>3.8574255306969745</v>
      </c>
      <c r="G31" s="8">
        <f>-$L$38+($M$38-$N$38)*EXP(A31)</f>
        <v>3.8574255306969745</v>
      </c>
      <c r="H31" s="55">
        <f>ABS(B31-E31)</f>
        <v>4.1790613939491905E-3</v>
      </c>
      <c r="I31" s="8">
        <f>ABS(C31-F31)</f>
        <v>2.0895306969745953E-3</v>
      </c>
      <c r="J31" s="56">
        <f>ABS(D31-G31)</f>
        <v>2.0895306969745953E-3</v>
      </c>
      <c r="L31" s="43">
        <v>2.7</v>
      </c>
      <c r="M31" s="43">
        <v>29.635448</v>
      </c>
      <c r="N31" s="37">
        <v>14.817724</v>
      </c>
      <c r="O31" s="37">
        <v>14.817724</v>
      </c>
      <c r="P31" s="55">
        <f t="shared" si="1"/>
        <v>29.759463449745674</v>
      </c>
      <c r="Q31" s="8">
        <f t="shared" si="2"/>
        <v>14.879731724872837</v>
      </c>
      <c r="R31" s="8">
        <f t="shared" si="3"/>
        <v>14.879731724872837</v>
      </c>
      <c r="S31" s="55">
        <f t="shared" si="4"/>
        <v>0.12401544974567358</v>
      </c>
      <c r="T31" s="8">
        <f t="shared" si="5"/>
        <v>6.2007724872836789E-2</v>
      </c>
      <c r="U31" s="56">
        <f t="shared" si="6"/>
        <v>6.2007724872836789E-2</v>
      </c>
    </row>
    <row r="32" spans="1:21" x14ac:dyDescent="0.3">
      <c r="A32" s="43">
        <v>1.4</v>
      </c>
      <c r="B32" s="43">
        <v>8.1058439999999994</v>
      </c>
      <c r="C32" s="37">
        <v>4.0529219999999997</v>
      </c>
      <c r="D32" s="37">
        <v>4.0529219999999997</v>
      </c>
      <c r="E32" s="55">
        <f>$L$38+$M$38*EXP(A32)</f>
        <v>8.1103999336893491</v>
      </c>
      <c r="F32" s="8">
        <f>3*$L$38+$N$38*EXP(A32)</f>
        <v>4.0551999668446745</v>
      </c>
      <c r="G32" s="8">
        <f>-$L$38+($M$38-$N$38)*EXP(A32)</f>
        <v>4.0551999668446745</v>
      </c>
      <c r="H32" s="55">
        <f>ABS(B32-E32)</f>
        <v>4.5559336893497004E-3</v>
      </c>
      <c r="I32" s="8">
        <f>ABS(C32-F32)</f>
        <v>2.2779668446748502E-3</v>
      </c>
      <c r="J32" s="56">
        <f>ABS(D32-G32)</f>
        <v>2.2779668446748502E-3</v>
      </c>
      <c r="L32" s="43">
        <v>2.8</v>
      </c>
      <c r="M32" s="43">
        <v>32.747169999999997</v>
      </c>
      <c r="N32" s="37">
        <v>16.373584999999999</v>
      </c>
      <c r="O32" s="37">
        <v>16.373584999999999</v>
      </c>
      <c r="P32" s="55">
        <f t="shared" si="1"/>
        <v>32.889293542194096</v>
      </c>
      <c r="Q32" s="8">
        <f t="shared" si="2"/>
        <v>16.444646771097048</v>
      </c>
      <c r="R32" s="8">
        <f t="shared" si="3"/>
        <v>16.444646771097048</v>
      </c>
      <c r="S32" s="55">
        <f t="shared" si="4"/>
        <v>0.14212354219409917</v>
      </c>
      <c r="T32" s="8">
        <f t="shared" si="5"/>
        <v>7.1061771097049586E-2</v>
      </c>
      <c r="U32" s="56">
        <f t="shared" si="6"/>
        <v>7.1061771097049586E-2</v>
      </c>
    </row>
    <row r="33" spans="1:39" x14ac:dyDescent="0.3">
      <c r="A33" s="43">
        <v>1.45</v>
      </c>
      <c r="B33" s="43">
        <v>8.5212690000000002</v>
      </c>
      <c r="C33" s="37">
        <v>4.2606339999999996</v>
      </c>
      <c r="D33" s="37">
        <v>4.2606339999999996</v>
      </c>
      <c r="E33" s="55">
        <f>$L$38+$M$38*EXP(A33)</f>
        <v>8.5262290303376336</v>
      </c>
      <c r="F33" s="8">
        <f>3*$L$38+$N$38*EXP(A33)</f>
        <v>4.2631145151688168</v>
      </c>
      <c r="G33" s="8">
        <f>-$L$38+($M$38-$N$38)*EXP(A33)</f>
        <v>4.2631145151688168</v>
      </c>
      <c r="H33" s="55">
        <f>ABS(B33-E33)</f>
        <v>4.9600303376333699E-3</v>
      </c>
      <c r="I33" s="8">
        <f>ABS(C33-F33)</f>
        <v>2.4805151688171989E-3</v>
      </c>
      <c r="J33" s="56">
        <f>ABS(D33-G33)</f>
        <v>2.4805151688171989E-3</v>
      </c>
      <c r="L33" s="43">
        <v>2.9</v>
      </c>
      <c r="M33" s="43">
        <v>36.185623</v>
      </c>
      <c r="N33" s="37">
        <v>18.092811999999999</v>
      </c>
      <c r="O33" s="37">
        <v>18.092811999999999</v>
      </c>
      <c r="P33" s="55">
        <f t="shared" si="1"/>
        <v>36.348290738886121</v>
      </c>
      <c r="Q33" s="8">
        <f t="shared" si="2"/>
        <v>18.17414536944306</v>
      </c>
      <c r="R33" s="8">
        <f t="shared" si="3"/>
        <v>18.17414536944306</v>
      </c>
      <c r="S33" s="55">
        <f t="shared" si="4"/>
        <v>0.16266773888612107</v>
      </c>
      <c r="T33" s="8">
        <f t="shared" si="5"/>
        <v>8.1333369443061798E-2</v>
      </c>
      <c r="U33" s="56">
        <f t="shared" si="6"/>
        <v>8.1333369443061798E-2</v>
      </c>
    </row>
    <row r="34" spans="1:39" x14ac:dyDescent="0.3">
      <c r="A34" s="43">
        <v>1.5</v>
      </c>
      <c r="B34" s="43">
        <v>8.9579839999999997</v>
      </c>
      <c r="C34" s="37">
        <v>4.4789919999999999</v>
      </c>
      <c r="D34" s="37">
        <v>4.4789919999999999</v>
      </c>
      <c r="E34" s="55">
        <f>$L$38+$M$38*EXP(A34)</f>
        <v>8.963378140676129</v>
      </c>
      <c r="F34" s="8">
        <f>3*$L$38+$N$38*EXP(A34)</f>
        <v>4.4816890703380645</v>
      </c>
      <c r="G34" s="8">
        <f>-$L$38+($M$38-$N$38)*EXP(A34)</f>
        <v>4.4816890703380645</v>
      </c>
      <c r="H34" s="55">
        <f>ABS(B34-E34)</f>
        <v>5.3941406761293109E-3</v>
      </c>
      <c r="I34" s="8">
        <f>ABS(C34-F34)</f>
        <v>2.6970703380646555E-3</v>
      </c>
      <c r="J34" s="56">
        <f>ABS(D34-G34)</f>
        <v>2.6970703380646555E-3</v>
      </c>
      <c r="L34" s="44">
        <v>3</v>
      </c>
      <c r="M34" s="44">
        <v>39.985114000000003</v>
      </c>
      <c r="N34" s="48">
        <v>19.992557000000001</v>
      </c>
      <c r="O34" s="48">
        <v>19.992557000000001</v>
      </c>
      <c r="P34" s="57">
        <f t="shared" si="1"/>
        <v>40.171073846375336</v>
      </c>
      <c r="Q34" s="58">
        <f t="shared" si="2"/>
        <v>20.085536923187668</v>
      </c>
      <c r="R34" s="58">
        <f t="shared" si="3"/>
        <v>20.085536923187668</v>
      </c>
      <c r="S34" s="57">
        <f t="shared" si="4"/>
        <v>0.18595984637533292</v>
      </c>
      <c r="T34" s="58">
        <f t="shared" si="5"/>
        <v>9.2979923187666458E-2</v>
      </c>
      <c r="U34" s="59">
        <f t="shared" si="6"/>
        <v>9.2979923187666458E-2</v>
      </c>
    </row>
    <row r="35" spans="1:39" x14ac:dyDescent="0.3">
      <c r="A35" s="43">
        <v>1.55</v>
      </c>
      <c r="B35" s="43">
        <v>9.4170800000000003</v>
      </c>
      <c r="C35" s="37">
        <v>4.7085400000000002</v>
      </c>
      <c r="D35" s="37">
        <v>4.7085400000000002</v>
      </c>
      <c r="E35" s="55">
        <f>$L$38+$M$38*EXP(A35)</f>
        <v>9.4229403651814838</v>
      </c>
      <c r="F35" s="8">
        <f>3*$L$38+$N$38*EXP(A35)</f>
        <v>4.7114701825907419</v>
      </c>
      <c r="G35" s="8">
        <f>-$L$38+($M$38-$N$38)*EXP(A35)</f>
        <v>4.7114701825907419</v>
      </c>
      <c r="H35" s="55">
        <f>ABS(B35-E35)</f>
        <v>5.8603651814834734E-3</v>
      </c>
      <c r="I35" s="8">
        <f>ABS(C35-F35)</f>
        <v>2.9301825907417367E-3</v>
      </c>
      <c r="J35" s="56">
        <f>ABS(D35-G35)</f>
        <v>2.9301825907417367E-3</v>
      </c>
    </row>
    <row r="36" spans="1:39" ht="15" thickBot="1" x14ac:dyDescent="0.35">
      <c r="A36" s="43">
        <v>1.6</v>
      </c>
      <c r="B36" s="43">
        <v>9.8997060000000001</v>
      </c>
      <c r="C36" s="37">
        <v>4.9498530000000001</v>
      </c>
      <c r="D36" s="37">
        <v>4.9498530000000001</v>
      </c>
      <c r="E36" s="55">
        <f>$L$38+$M$38*EXP(A36)</f>
        <v>9.9060648487902299</v>
      </c>
      <c r="F36" s="8">
        <f>3*$L$38+$N$38*EXP(A36)</f>
        <v>4.9530324243951149</v>
      </c>
      <c r="G36" s="8">
        <f>-$L$38+($M$38-$N$38)*EXP(A36)</f>
        <v>4.9530324243951149</v>
      </c>
      <c r="H36" s="55">
        <f>ABS(B36-E36)</f>
        <v>6.358848790229743E-3</v>
      </c>
      <c r="I36" s="8">
        <f>ABS(C36-F36)</f>
        <v>3.1794243951148715E-3</v>
      </c>
      <c r="J36" s="56">
        <f>ABS(D36-G36)</f>
        <v>3.1794243951148715E-3</v>
      </c>
      <c r="L36" s="1"/>
      <c r="M36" s="1"/>
      <c r="N36" s="1"/>
      <c r="O36" s="1"/>
      <c r="P36" s="1"/>
      <c r="Q36" s="1"/>
      <c r="R36" s="1"/>
    </row>
    <row r="37" spans="1:39" x14ac:dyDescent="0.3">
      <c r="A37" s="43">
        <v>1.65</v>
      </c>
      <c r="B37" s="43">
        <v>10.407064999999999</v>
      </c>
      <c r="C37" s="37">
        <v>5.2035330000000002</v>
      </c>
      <c r="D37" s="37">
        <v>5.2035330000000002</v>
      </c>
      <c r="E37" s="55">
        <f>$L$38+$M$38*EXP(A37)</f>
        <v>10.413959654359697</v>
      </c>
      <c r="F37" s="8">
        <f>3*$L$38+$N$38*EXP(A37)</f>
        <v>5.2069798271798486</v>
      </c>
      <c r="G37" s="8">
        <f>-$L$38+($M$38-$N$38)*EXP(A37)</f>
        <v>5.2069798271798486</v>
      </c>
      <c r="H37" s="55">
        <f>ABS(B37-E37)</f>
        <v>6.8946543596979382E-3</v>
      </c>
      <c r="I37" s="8">
        <f>ABS(C37-F37)</f>
        <v>3.4468271798484551E-3</v>
      </c>
      <c r="J37" s="56">
        <f>ABS(D37-G37)</f>
        <v>3.4468271798484551E-3</v>
      </c>
      <c r="L37" s="2" t="s">
        <v>13</v>
      </c>
      <c r="M37" s="2" t="s">
        <v>14</v>
      </c>
      <c r="N37" s="2" t="s">
        <v>15</v>
      </c>
      <c r="O37" s="1"/>
      <c r="P37" s="1"/>
      <c r="Q37" s="1"/>
      <c r="R37" s="1"/>
      <c r="AB37" s="29" t="s">
        <v>30</v>
      </c>
      <c r="AC37" s="30"/>
      <c r="AD37" s="30" t="s">
        <v>18</v>
      </c>
      <c r="AE37" s="30"/>
      <c r="AF37" s="30" t="s">
        <v>38</v>
      </c>
      <c r="AG37" s="30"/>
      <c r="AH37" s="30" t="s">
        <v>33</v>
      </c>
      <c r="AI37" s="30"/>
      <c r="AJ37" s="30" t="s">
        <v>20</v>
      </c>
      <c r="AK37" s="30"/>
      <c r="AL37" s="30"/>
      <c r="AM37" s="32"/>
    </row>
    <row r="38" spans="1:39" x14ac:dyDescent="0.3">
      <c r="A38" s="43">
        <v>1.7</v>
      </c>
      <c r="B38" s="43">
        <v>10.940428000000001</v>
      </c>
      <c r="C38" s="37">
        <v>5.4702140000000004</v>
      </c>
      <c r="D38" s="37">
        <v>5.4702140000000004</v>
      </c>
      <c r="E38" s="55">
        <f>$L$38+$M$38*EXP(A38)</f>
        <v>10.9478947834544</v>
      </c>
      <c r="F38" s="8">
        <f>3*$L$38+$N$38*EXP(A38)</f>
        <v>5.4739473917271999</v>
      </c>
      <c r="G38" s="8">
        <f>-$L$38+($M$38-$N$38)*EXP(A38)</f>
        <v>5.4739473917271999</v>
      </c>
      <c r="H38" s="55">
        <f>ABS(B38-E38)</f>
        <v>7.4667834543991063E-3</v>
      </c>
      <c r="I38" s="8">
        <f>ABS(C38-F38)</f>
        <v>3.7333917271995531E-3</v>
      </c>
      <c r="J38" s="56">
        <f>ABS(D38-G38)</f>
        <v>3.7333917271995531E-3</v>
      </c>
      <c r="L38" s="2">
        <v>0</v>
      </c>
      <c r="M38" s="2">
        <v>2</v>
      </c>
      <c r="N38" s="2">
        <v>1</v>
      </c>
      <c r="O38" s="1"/>
      <c r="P38" s="1"/>
      <c r="Q38" s="1"/>
      <c r="R38" s="1"/>
      <c r="AB38" s="31"/>
      <c r="AC38" s="22"/>
      <c r="AD38" s="22"/>
      <c r="AE38" s="22"/>
      <c r="AF38" s="22"/>
      <c r="AG38" s="22"/>
      <c r="AH38" s="22"/>
      <c r="AI38" s="22"/>
      <c r="AJ38" s="22" t="s">
        <v>21</v>
      </c>
      <c r="AK38" s="22"/>
      <c r="AL38" s="22" t="s">
        <v>37</v>
      </c>
      <c r="AM38" s="33"/>
    </row>
    <row r="39" spans="1:39" ht="15" thickBot="1" x14ac:dyDescent="0.35">
      <c r="A39" s="43">
        <v>1.75</v>
      </c>
      <c r="B39" s="43">
        <v>11.501124000000001</v>
      </c>
      <c r="C39" s="37">
        <v>5.7505620000000004</v>
      </c>
      <c r="D39" s="37">
        <v>5.7505620000000004</v>
      </c>
      <c r="E39" s="55">
        <f>$L$38+$M$38*EXP(A39)</f>
        <v>11.509205352011461</v>
      </c>
      <c r="F39" s="8">
        <f>3*$L$38+$N$38*EXP(A39)</f>
        <v>5.7546026760057307</v>
      </c>
      <c r="G39" s="8">
        <f>-$L$38+($M$38-$N$38)*EXP(A39)</f>
        <v>5.7546026760057307</v>
      </c>
      <c r="H39" s="55">
        <f>ABS(B39-E39)</f>
        <v>8.0813520114606519E-3</v>
      </c>
      <c r="I39" s="8">
        <f>ABS(C39-F39)</f>
        <v>4.0406760057303259E-3</v>
      </c>
      <c r="J39" s="56">
        <f>ABS(D39-G39)</f>
        <v>4.0406760057303259E-3</v>
      </c>
      <c r="L39" s="1"/>
      <c r="M39" s="1"/>
      <c r="N39" s="1"/>
      <c r="O39" s="1"/>
      <c r="P39" s="1"/>
      <c r="Q39" s="1"/>
      <c r="R39" s="1"/>
      <c r="AB39" s="34">
        <f>MAX(H4:H64)</f>
        <v>4.8338846375337141E-2</v>
      </c>
      <c r="AC39" s="27"/>
      <c r="AD39" s="27">
        <f>MAX(S4:S34)</f>
        <v>0.18595984637533292</v>
      </c>
      <c r="AE39" s="27"/>
      <c r="AF39" s="27">
        <f>AVERAGE(H4:H64)</f>
        <v>1.1230842052341403E-2</v>
      </c>
      <c r="AG39" s="27"/>
      <c r="AH39" s="27">
        <f>AVERAGE(S4:S34)</f>
        <v>4.4071376330108519E-2</v>
      </c>
      <c r="AI39" s="27"/>
      <c r="AJ39" s="27">
        <f>AD39/AB39</f>
        <v>3.8470062965799507</v>
      </c>
      <c r="AK39" s="27"/>
      <c r="AL39" s="27">
        <f>AH39/AF39</f>
        <v>3.9241382012776618</v>
      </c>
      <c r="AM39" s="28"/>
    </row>
    <row r="40" spans="1:39" x14ac:dyDescent="0.3">
      <c r="A40" s="43">
        <v>1.8</v>
      </c>
      <c r="B40" s="43">
        <v>12.090557</v>
      </c>
      <c r="C40" s="37">
        <v>6.0452789999999998</v>
      </c>
      <c r="D40" s="37">
        <v>6.0452789999999998</v>
      </c>
      <c r="E40" s="55">
        <f>$L$38+$M$38*EXP(A40)</f>
        <v>12.099294928825893</v>
      </c>
      <c r="F40" s="8">
        <f>3*$L$38+$N$38*EXP(A40)</f>
        <v>6.0496474644129465</v>
      </c>
      <c r="G40" s="8">
        <f>-$L$38+($M$38-$N$38)*EXP(A40)</f>
        <v>6.0496474644129465</v>
      </c>
      <c r="H40" s="55">
        <f>ABS(B40-E40)</f>
        <v>8.737928825892638E-3</v>
      </c>
      <c r="I40" s="8">
        <f>ABS(C40-F40)</f>
        <v>4.3684644129466932E-3</v>
      </c>
      <c r="J40" s="56">
        <f>ABS(D40-G40)</f>
        <v>4.3684644129466932E-3</v>
      </c>
      <c r="L40" s="1"/>
      <c r="M40" s="1"/>
      <c r="N40" s="1"/>
      <c r="O40" s="1"/>
      <c r="P40" s="1"/>
      <c r="Q40" s="1"/>
      <c r="R40" s="1"/>
    </row>
    <row r="41" spans="1:39" x14ac:dyDescent="0.3">
      <c r="A41" s="43">
        <v>1.85</v>
      </c>
      <c r="B41" s="43">
        <v>12.710198</v>
      </c>
      <c r="C41" s="37">
        <v>6.3550990000000001</v>
      </c>
      <c r="D41" s="37">
        <v>6.3550990000000001</v>
      </c>
      <c r="E41" s="55">
        <f>$L$38+$M$38*EXP(A41)</f>
        <v>12.719639045203664</v>
      </c>
      <c r="F41" s="8">
        <f>3*$L$38+$N$38*EXP(A41)</f>
        <v>6.3598195226018319</v>
      </c>
      <c r="G41" s="8">
        <f>-$L$38+($M$38-$N$38)*EXP(A41)</f>
        <v>6.3598195226018319</v>
      </c>
      <c r="H41" s="55">
        <f>ABS(B41-E41)</f>
        <v>9.4410452036637338E-3</v>
      </c>
      <c r="I41" s="8">
        <f>ABS(C41-F41)</f>
        <v>4.7205226018318669E-3</v>
      </c>
      <c r="J41" s="56">
        <f>ABS(D41-G41)</f>
        <v>4.7205226018318669E-3</v>
      </c>
    </row>
    <row r="42" spans="1:39" x14ac:dyDescent="0.3">
      <c r="A42" s="43">
        <v>1.9</v>
      </c>
      <c r="B42" s="43">
        <v>13.361596</v>
      </c>
      <c r="C42" s="37">
        <v>6.6807980000000002</v>
      </c>
      <c r="D42" s="37">
        <v>6.6807980000000002</v>
      </c>
      <c r="E42" s="55">
        <f>$L$38+$M$38*EXP(A42)</f>
        <v>13.371788884558537</v>
      </c>
      <c r="F42" s="8">
        <f>3*$L$38+$N$38*EXP(A42)</f>
        <v>6.6858944422792685</v>
      </c>
      <c r="G42" s="8">
        <f>-$L$38+($M$38-$N$38)*EXP(A42)</f>
        <v>6.6858944422792685</v>
      </c>
      <c r="H42" s="55">
        <f>ABS(B42-E42)</f>
        <v>1.0192884558536619E-2</v>
      </c>
      <c r="I42" s="8">
        <f>ABS(C42-F42)</f>
        <v>5.0964422792683095E-3</v>
      </c>
      <c r="J42" s="56">
        <f>ABS(D42-G42)</f>
        <v>5.0964422792683095E-3</v>
      </c>
      <c r="L42" s="83" t="s">
        <v>24</v>
      </c>
      <c r="M42" s="83"/>
      <c r="N42" s="83"/>
      <c r="O42" s="83"/>
      <c r="P42" s="83"/>
    </row>
    <row r="43" spans="1:39" x14ac:dyDescent="0.3">
      <c r="A43" s="43">
        <v>1.95</v>
      </c>
      <c r="B43" s="43">
        <v>14.046378000000001</v>
      </c>
      <c r="C43" s="37">
        <v>7.0231890000000003</v>
      </c>
      <c r="D43" s="37">
        <v>7.0231890000000003</v>
      </c>
      <c r="E43" s="55">
        <f>$L$38+$M$38*EXP(A43)</f>
        <v>14.057375161178586</v>
      </c>
      <c r="F43" s="8">
        <f>3*$L$38+$N$38*EXP(A43)</f>
        <v>7.0286875805892928</v>
      </c>
      <c r="G43" s="8">
        <f>-$L$38+($M$38-$N$38)*EXP(A43)</f>
        <v>7.0286875805892928</v>
      </c>
      <c r="H43" s="55">
        <f>ABS(B43-E43)</f>
        <v>1.0997161178584847E-2</v>
      </c>
      <c r="I43" s="8">
        <f>ABS(C43-F43)</f>
        <v>5.4985805892924233E-3</v>
      </c>
      <c r="J43" s="56">
        <f>ABS(D43-G43)</f>
        <v>5.4985805892924233E-3</v>
      </c>
      <c r="L43" s="83"/>
      <c r="M43" s="83"/>
      <c r="N43" s="83"/>
      <c r="O43" s="83"/>
      <c r="P43" s="83"/>
    </row>
    <row r="44" spans="1:39" x14ac:dyDescent="0.3">
      <c r="A44" s="43">
        <v>2</v>
      </c>
      <c r="B44" s="43">
        <v>14.766254</v>
      </c>
      <c r="C44" s="37">
        <v>7.383127</v>
      </c>
      <c r="D44" s="37">
        <v>7.383127</v>
      </c>
      <c r="E44" s="55">
        <f>$L$38+$M$38*EXP(A44)</f>
        <v>14.778112197861301</v>
      </c>
      <c r="F44" s="8">
        <f>3*$L$38+$N$38*EXP(A44)</f>
        <v>7.3890560989306504</v>
      </c>
      <c r="G44" s="8">
        <f>-$L$38+($M$38-$N$38)*EXP(A44)</f>
        <v>7.3890560989306504</v>
      </c>
      <c r="H44" s="55">
        <f>ABS(B44-E44)</f>
        <v>1.1858197861300823E-2</v>
      </c>
      <c r="I44" s="8">
        <f>ABS(C44-F44)</f>
        <v>5.9290989306504116E-3</v>
      </c>
      <c r="J44" s="56">
        <f>ABS(D44-G44)</f>
        <v>5.9290989306504116E-3</v>
      </c>
      <c r="L44" s="82" t="s">
        <v>42</v>
      </c>
      <c r="M44" s="81"/>
      <c r="N44" s="81"/>
      <c r="O44" s="81"/>
      <c r="P44" s="81"/>
      <c r="Q44" s="1"/>
      <c r="R44" s="1"/>
      <c r="S44" s="1"/>
      <c r="T44" s="1"/>
      <c r="U44" s="1"/>
      <c r="V44" s="1"/>
      <c r="W44" s="1"/>
    </row>
    <row r="45" spans="1:39" x14ac:dyDescent="0.3">
      <c r="A45" s="43">
        <v>2.0499999999999998</v>
      </c>
      <c r="B45" s="43">
        <v>15.523025000000001</v>
      </c>
      <c r="C45" s="37">
        <v>7.7615119999999997</v>
      </c>
      <c r="D45" s="37">
        <v>7.7615119999999997</v>
      </c>
      <c r="E45" s="55">
        <f>$L$38+$M$38*EXP(A45)</f>
        <v>15.535802212613541</v>
      </c>
      <c r="F45" s="8">
        <f>3*$L$38+$N$38*EXP(A45)</f>
        <v>7.7679011063067707</v>
      </c>
      <c r="G45" s="8">
        <f>-$L$38+($M$38-$N$38)*EXP(A45)</f>
        <v>7.7679011063067707</v>
      </c>
      <c r="H45" s="55">
        <f>ABS(B45-E45)</f>
        <v>1.2777212613540812E-2</v>
      </c>
      <c r="I45" s="8">
        <f>ABS(C45-F45)</f>
        <v>6.3891063067709197E-3</v>
      </c>
      <c r="J45" s="56">
        <f>ABS(D45-G45)</f>
        <v>6.3891063067709197E-3</v>
      </c>
      <c r="L45" s="81"/>
      <c r="M45" s="81"/>
      <c r="N45" s="81"/>
      <c r="O45" s="81"/>
      <c r="P45" s="81"/>
    </row>
    <row r="46" spans="1:39" x14ac:dyDescent="0.3">
      <c r="A46" s="43">
        <v>2.1</v>
      </c>
      <c r="B46" s="43">
        <v>16.318580000000001</v>
      </c>
      <c r="C46" s="37">
        <v>8.1592900000000004</v>
      </c>
      <c r="D46" s="37">
        <v>8.1592900000000004</v>
      </c>
      <c r="E46" s="55">
        <f>$L$38+$M$38*EXP(A46)</f>
        <v>16.332339825135303</v>
      </c>
      <c r="F46" s="8">
        <f>3*$L$38+$N$38*EXP(A46)</f>
        <v>8.1661699125676517</v>
      </c>
      <c r="G46" s="8">
        <f>-$L$38+($M$38-$N$38)*EXP(A46)</f>
        <v>8.1661699125676517</v>
      </c>
      <c r="H46" s="55">
        <f>ABS(B46-E46)</f>
        <v>1.3759825135302606E-2</v>
      </c>
      <c r="I46" s="8">
        <f>ABS(C46-F46)</f>
        <v>6.8799125676513029E-3</v>
      </c>
      <c r="J46" s="56">
        <f>ABS(D46-G46)</f>
        <v>6.8799125676513029E-3</v>
      </c>
      <c r="L46" s="81"/>
      <c r="M46" s="81"/>
      <c r="N46" s="81"/>
      <c r="O46" s="81"/>
      <c r="P46" s="81"/>
    </row>
    <row r="47" spans="1:39" x14ac:dyDescent="0.3">
      <c r="A47" s="43">
        <v>2.15</v>
      </c>
      <c r="B47" s="43">
        <v>17.154907000000001</v>
      </c>
      <c r="C47" s="37">
        <v>8.5774539999999995</v>
      </c>
      <c r="D47" s="37">
        <v>8.5774539999999995</v>
      </c>
      <c r="E47" s="55">
        <f>$L$38+$M$38*EXP(A47)</f>
        <v>17.169716794355786</v>
      </c>
      <c r="F47" s="8">
        <f>3*$L$38+$N$38*EXP(A47)</f>
        <v>8.5848583971778929</v>
      </c>
      <c r="G47" s="8">
        <f>-$L$38+($M$38-$N$38)*EXP(A47)</f>
        <v>8.5848583971778929</v>
      </c>
      <c r="H47" s="55">
        <f>ABS(B47-E47)</f>
        <v>1.4809794355784334E-2</v>
      </c>
      <c r="I47" s="8">
        <f>ABS(C47-F47)</f>
        <v>7.4043971778934292E-3</v>
      </c>
      <c r="J47" s="56">
        <f>ABS(D47-G47)</f>
        <v>7.4043971778934292E-3</v>
      </c>
      <c r="L47" s="81"/>
      <c r="M47" s="81"/>
      <c r="N47" s="81"/>
      <c r="O47" s="81"/>
      <c r="P47" s="81"/>
    </row>
    <row r="48" spans="1:39" x14ac:dyDescent="0.3">
      <c r="A48" s="43">
        <v>2.2000000000000002</v>
      </c>
      <c r="B48" s="43">
        <v>18.034096000000002</v>
      </c>
      <c r="C48" s="37">
        <v>9.0170480000000008</v>
      </c>
      <c r="D48" s="37">
        <v>9.0170480000000008</v>
      </c>
      <c r="E48" s="55">
        <f>$L$38+$M$38*EXP(A48)</f>
        <v>18.050026998868244</v>
      </c>
      <c r="F48" s="8">
        <f>3*$L$38+$N$38*EXP(A48)</f>
        <v>9.025013499434122</v>
      </c>
      <c r="G48" s="8">
        <f>-$L$38+($M$38-$N$38)*EXP(A48)</f>
        <v>9.025013499434122</v>
      </c>
      <c r="H48" s="55">
        <f>ABS(B48-E48)</f>
        <v>1.5930998868242341E-2</v>
      </c>
      <c r="I48" s="8">
        <f>ABS(C48-F48)</f>
        <v>7.9654994341211705E-3</v>
      </c>
      <c r="J48" s="56">
        <f>ABS(D48-G48)</f>
        <v>7.9654994341211705E-3</v>
      </c>
      <c r="L48" s="81"/>
      <c r="M48" s="81"/>
      <c r="N48" s="81"/>
      <c r="O48" s="81"/>
      <c r="P48" s="81"/>
      <c r="Q48" s="1"/>
      <c r="R48" s="1"/>
      <c r="S48" s="1"/>
      <c r="T48" s="1"/>
      <c r="U48" s="1"/>
      <c r="V48" s="1"/>
      <c r="W48" s="1"/>
    </row>
    <row r="49" spans="1:18" x14ac:dyDescent="0.3">
      <c r="A49" s="43">
        <v>2.25</v>
      </c>
      <c r="B49" s="43">
        <v>18.958344</v>
      </c>
      <c r="C49" s="37">
        <v>9.4791720000000002</v>
      </c>
      <c r="D49" s="37">
        <v>9.4791720000000002</v>
      </c>
      <c r="E49" s="55">
        <f>$L$38+$M$38*EXP(A49)</f>
        <v>18.975471672717052</v>
      </c>
      <c r="F49" s="8">
        <f>3*$L$38+$N$38*EXP(A49)</f>
        <v>9.4877358363585262</v>
      </c>
      <c r="G49" s="8">
        <f>-$L$38+($M$38-$N$38)*EXP(A49)</f>
        <v>9.4877358363585262</v>
      </c>
      <c r="H49" s="55">
        <f>ABS(B49-E49)</f>
        <v>1.7127672717052178E-2</v>
      </c>
      <c r="I49" s="8">
        <f>ABS(C49-F49)</f>
        <v>8.563836358526089E-3</v>
      </c>
      <c r="J49" s="56">
        <f>ABS(D49-G49)</f>
        <v>8.563836358526089E-3</v>
      </c>
      <c r="L49" s="81"/>
      <c r="M49" s="81"/>
      <c r="N49" s="81"/>
      <c r="O49" s="81"/>
      <c r="P49" s="81"/>
    </row>
    <row r="50" spans="1:18" x14ac:dyDescent="0.3">
      <c r="A50" s="43">
        <v>2.2999999999999998</v>
      </c>
      <c r="B50" s="43">
        <v>19.929959</v>
      </c>
      <c r="C50" s="37">
        <v>9.9649789999999996</v>
      </c>
      <c r="D50" s="37">
        <v>9.9649789999999996</v>
      </c>
      <c r="E50" s="55">
        <f>$L$38+$M$38*EXP(A50)</f>
        <v>19.948364909629436</v>
      </c>
      <c r="F50" s="8">
        <f>3*$L$38+$N$38*EXP(A50)</f>
        <v>9.9741824548147182</v>
      </c>
      <c r="G50" s="8">
        <f>-$L$38+($M$38-$N$38)*EXP(A50)</f>
        <v>9.9741824548147182</v>
      </c>
      <c r="H50" s="55">
        <f>ABS(B50-E50)</f>
        <v>1.8405909629436223E-2</v>
      </c>
      <c r="I50" s="8">
        <f>ABS(C50-F50)</f>
        <v>9.2034548147186257E-3</v>
      </c>
      <c r="J50" s="56">
        <f>ABS(D50-G50)</f>
        <v>9.2034548147186257E-3</v>
      </c>
      <c r="L50" s="81"/>
      <c r="M50" s="81"/>
      <c r="N50" s="81"/>
      <c r="O50" s="81"/>
      <c r="P50" s="81"/>
    </row>
    <row r="51" spans="1:18" x14ac:dyDescent="0.3">
      <c r="A51" s="43">
        <v>2.35</v>
      </c>
      <c r="B51" s="43">
        <v>20.951369</v>
      </c>
      <c r="C51" s="37">
        <v>10.475685</v>
      </c>
      <c r="D51" s="37">
        <v>10.475685</v>
      </c>
      <c r="E51" s="55">
        <f>$L$38+$M$38*EXP(A51)</f>
        <v>20.971139449455151</v>
      </c>
      <c r="F51" s="8">
        <f>3*$L$38+$N$38*EXP(A51)</f>
        <v>10.485569724727576</v>
      </c>
      <c r="G51" s="8">
        <f>-$L$38+($M$38-$N$38)*EXP(A51)</f>
        <v>10.485569724727576</v>
      </c>
      <c r="H51" s="55">
        <f>ABS(B51-E51)</f>
        <v>1.9770449455151606E-2</v>
      </c>
      <c r="I51" s="8">
        <f>ABS(C51-F51)</f>
        <v>9.8847247275752892E-3</v>
      </c>
      <c r="J51" s="56">
        <f>ABS(D51-G51)</f>
        <v>9.8847247275752892E-3</v>
      </c>
      <c r="L51" s="81"/>
      <c r="M51" s="81"/>
      <c r="N51" s="81"/>
      <c r="O51" s="81"/>
      <c r="P51" s="81"/>
    </row>
    <row r="52" spans="1:18" x14ac:dyDescent="0.3">
      <c r="A52" s="43">
        <v>2.4</v>
      </c>
      <c r="B52" s="43">
        <v>22.025127000000001</v>
      </c>
      <c r="C52" s="37">
        <v>11.012563</v>
      </c>
      <c r="D52" s="37">
        <v>11.012563</v>
      </c>
      <c r="E52" s="55">
        <f>$L$38+$M$38*EXP(A52)</f>
        <v>22.046352761283202</v>
      </c>
      <c r="F52" s="8">
        <f>3*$L$38+$N$38*EXP(A52)</f>
        <v>11.023176380641601</v>
      </c>
      <c r="G52" s="8">
        <f>-$L$38+($M$38-$N$38)*EXP(A52)</f>
        <v>11.023176380641601</v>
      </c>
      <c r="H52" s="55">
        <f>ABS(B52-E52)</f>
        <v>2.1225761283201194E-2</v>
      </c>
      <c r="I52" s="8">
        <f>ABS(C52-F52)</f>
        <v>1.0613380641601111E-2</v>
      </c>
      <c r="J52" s="56">
        <f>ABS(D52-G52)</f>
        <v>1.0613380641601111E-2</v>
      </c>
      <c r="L52" s="81"/>
      <c r="M52" s="81"/>
      <c r="N52" s="81"/>
      <c r="O52" s="81"/>
      <c r="P52" s="81"/>
      <c r="Q52" s="1"/>
      <c r="R52" s="1"/>
    </row>
    <row r="53" spans="1:18" x14ac:dyDescent="0.3">
      <c r="A53" s="43">
        <v>2.4500000000000002</v>
      </c>
      <c r="B53" s="43">
        <v>23.153915000000001</v>
      </c>
      <c r="C53" s="37">
        <v>11.576957</v>
      </c>
      <c r="D53" s="37">
        <v>11.576957</v>
      </c>
      <c r="E53" s="55">
        <f>$L$38+$M$38*EXP(A53)</f>
        <v>23.176693438446783</v>
      </c>
      <c r="F53" s="8">
        <f>3*$L$38+$N$38*EXP(A53)</f>
        <v>11.588346719223392</v>
      </c>
      <c r="G53" s="8">
        <f>-$L$38+($M$38-$N$38)*EXP(A53)</f>
        <v>11.588346719223392</v>
      </c>
      <c r="H53" s="55">
        <f>ABS(B53-E53)</f>
        <v>2.2778438446781735E-2</v>
      </c>
      <c r="I53" s="8">
        <f>ABS(C53-F53)</f>
        <v>1.1389719223391381E-2</v>
      </c>
      <c r="J53" s="56">
        <f>ABS(D53-G53)</f>
        <v>1.1389719223391381E-2</v>
      </c>
      <c r="L53" s="81"/>
      <c r="M53" s="81"/>
      <c r="N53" s="81"/>
      <c r="O53" s="81"/>
      <c r="P53" s="81"/>
      <c r="Q53" s="1"/>
      <c r="R53" s="1"/>
    </row>
    <row r="54" spans="1:18" x14ac:dyDescent="0.3">
      <c r="A54" s="43">
        <v>2.5</v>
      </c>
      <c r="B54" s="43">
        <v>24.340553</v>
      </c>
      <c r="C54" s="37">
        <v>12.170275999999999</v>
      </c>
      <c r="D54" s="37">
        <v>12.170275999999999</v>
      </c>
      <c r="E54" s="55">
        <f>$L$38+$M$38*EXP(A54)</f>
        <v>24.364987921406946</v>
      </c>
      <c r="F54" s="8">
        <f>3*$L$38+$N$38*EXP(A54)</f>
        <v>12.182493960703473</v>
      </c>
      <c r="G54" s="8">
        <f>-$L$38+($M$38-$N$38)*EXP(A54)</f>
        <v>12.182493960703473</v>
      </c>
      <c r="H54" s="55">
        <f>ABS(B54-E54)</f>
        <v>2.4434921406946586E-2</v>
      </c>
      <c r="I54" s="8">
        <f>ABS(C54-F54)</f>
        <v>1.2217960703473807E-2</v>
      </c>
      <c r="J54" s="56">
        <f>ABS(D54-G54)</f>
        <v>1.2217960703473807E-2</v>
      </c>
      <c r="L54" s="81"/>
      <c r="M54" s="81"/>
      <c r="N54" s="81"/>
      <c r="O54" s="81"/>
      <c r="P54" s="81"/>
      <c r="Q54" s="1"/>
      <c r="R54" s="1"/>
    </row>
    <row r="55" spans="1:18" ht="14.4" customHeight="1" x14ac:dyDescent="0.3">
      <c r="A55" s="43">
        <v>2.5499999999999998</v>
      </c>
      <c r="B55" s="43">
        <v>25.588006</v>
      </c>
      <c r="C55" s="37">
        <v>12.794003</v>
      </c>
      <c r="D55" s="37">
        <v>12.794003</v>
      </c>
      <c r="E55" s="55">
        <f>$L$38+$M$38*EXP(A55)</f>
        <v>25.614207565326058</v>
      </c>
      <c r="F55" s="8">
        <f>3*$L$38+$N$38*EXP(A55)</f>
        <v>12.807103782663029</v>
      </c>
      <c r="G55" s="8">
        <f>-$L$38+($M$38-$N$38)*EXP(A55)</f>
        <v>12.807103782663029</v>
      </c>
      <c r="H55" s="55">
        <f>ABS(B55-E55)</f>
        <v>2.6201565326058329E-2</v>
      </c>
      <c r="I55" s="8">
        <f>ABS(C55-F55)</f>
        <v>1.3100782663029165E-2</v>
      </c>
      <c r="J55" s="56">
        <f>ABS(D55-G55)</f>
        <v>1.3100782663029165E-2</v>
      </c>
      <c r="L55" s="83" t="s">
        <v>25</v>
      </c>
      <c r="M55" s="83"/>
      <c r="N55" s="83"/>
      <c r="O55" s="83"/>
      <c r="P55" s="83"/>
      <c r="Q55" s="1"/>
      <c r="R55" s="1"/>
    </row>
    <row r="56" spans="1:18" ht="15" customHeight="1" thickBot="1" x14ac:dyDescent="0.35">
      <c r="A56" s="43">
        <v>2.6</v>
      </c>
      <c r="B56" s="43">
        <v>26.899391000000001</v>
      </c>
      <c r="C56" s="37">
        <v>13.449695999999999</v>
      </c>
      <c r="D56" s="37">
        <v>13.449695999999999</v>
      </c>
      <c r="E56" s="55">
        <f>$L$38+$M$38*EXP(A56)</f>
        <v>26.927476070003383</v>
      </c>
      <c r="F56" s="8">
        <f>3*$L$38+$N$38*EXP(A56)</f>
        <v>13.463738035001692</v>
      </c>
      <c r="G56" s="8">
        <f>-$L$38+($M$38-$N$38)*EXP(A56)</f>
        <v>13.463738035001692</v>
      </c>
      <c r="H56" s="55">
        <f>ABS(B56-E56)</f>
        <v>2.8085070003381674E-2</v>
      </c>
      <c r="I56" s="8">
        <f>ABS(C56-F56)</f>
        <v>1.4042035001692099E-2</v>
      </c>
      <c r="J56" s="56">
        <f>ABS(D56-G56)</f>
        <v>1.4042035001692099E-2</v>
      </c>
      <c r="L56" s="83"/>
      <c r="M56" s="83"/>
      <c r="N56" s="83"/>
      <c r="O56" s="83"/>
      <c r="P56" s="83"/>
      <c r="Q56" s="1"/>
      <c r="R56" s="1"/>
    </row>
    <row r="57" spans="1:18" x14ac:dyDescent="0.3">
      <c r="A57" s="43">
        <v>2.65</v>
      </c>
      <c r="B57" s="43">
        <v>28.277985000000001</v>
      </c>
      <c r="C57" s="37">
        <v>14.138992999999999</v>
      </c>
      <c r="D57" s="37">
        <v>14.138992999999999</v>
      </c>
      <c r="E57" s="55">
        <f>$L$38+$M$38*EXP(A57)</f>
        <v>28.308077290751601</v>
      </c>
      <c r="F57" s="8">
        <f>3*$L$38+$N$38*EXP(A57)</f>
        <v>14.154038645375801</v>
      </c>
      <c r="G57" s="8">
        <f>-$L$38+($M$38-$N$38)*EXP(A57)</f>
        <v>14.154038645375801</v>
      </c>
      <c r="H57" s="55">
        <f>ABS(B57-E57)</f>
        <v>3.0092290751600359E-2</v>
      </c>
      <c r="I57" s="8">
        <f>ABS(C57-F57)</f>
        <v>1.5045645375801442E-2</v>
      </c>
      <c r="J57" s="56">
        <f>ABS(D57-G57)</f>
        <v>1.5045645375801442E-2</v>
      </c>
      <c r="L57" s="10"/>
      <c r="M57" s="11"/>
      <c r="N57" s="11"/>
      <c r="O57" s="11"/>
      <c r="P57" s="12"/>
      <c r="Q57" s="1"/>
      <c r="R57" s="1"/>
    </row>
    <row r="58" spans="1:18" x14ac:dyDescent="0.3">
      <c r="A58" s="43">
        <v>2.7</v>
      </c>
      <c r="B58" s="43">
        <v>29.727232000000001</v>
      </c>
      <c r="C58" s="37">
        <v>14.863616</v>
      </c>
      <c r="D58" s="37">
        <v>14.863616</v>
      </c>
      <c r="E58" s="55">
        <f>$L$38+$M$38*EXP(A58)</f>
        <v>29.759463449745674</v>
      </c>
      <c r="F58" s="8">
        <f>3*$L$38+$N$38*EXP(A58)</f>
        <v>14.879731724872837</v>
      </c>
      <c r="G58" s="8">
        <f>-$L$38+($M$38-$N$38)*EXP(A58)</f>
        <v>14.879731724872837</v>
      </c>
      <c r="H58" s="55">
        <f>ABS(B58-E58)</f>
        <v>3.2231449745673046E-2</v>
      </c>
      <c r="I58" s="8">
        <f>ABS(C58-F58)</f>
        <v>1.6115724872836523E-2</v>
      </c>
      <c r="J58" s="56">
        <f>ABS(D58-G58)</f>
        <v>1.6115724872836523E-2</v>
      </c>
      <c r="L58" s="13"/>
      <c r="M58" s="14"/>
      <c r="N58" s="14"/>
      <c r="O58" s="14"/>
      <c r="P58" s="15"/>
      <c r="Q58" s="1"/>
      <c r="R58" s="1"/>
    </row>
    <row r="59" spans="1:18" x14ac:dyDescent="0.3">
      <c r="A59" s="43">
        <v>2.75</v>
      </c>
      <c r="B59" s="43">
        <v>31.250753</v>
      </c>
      <c r="C59" s="37">
        <v>15.625375999999999</v>
      </c>
      <c r="D59" s="37">
        <v>15.625375999999999</v>
      </c>
      <c r="E59" s="55">
        <f>$L$38+$M$38*EXP(A59)</f>
        <v>31.285263768376343</v>
      </c>
      <c r="F59" s="8">
        <f>3*$L$38+$N$38*EXP(A59)</f>
        <v>15.642631884188171</v>
      </c>
      <c r="G59" s="8">
        <f>-$L$38+($M$38-$N$38)*EXP(A59)</f>
        <v>15.642631884188171</v>
      </c>
      <c r="H59" s="55">
        <f>ABS(B59-E59)</f>
        <v>3.4510768376343037E-2</v>
      </c>
      <c r="I59" s="8">
        <f>ABS(C59-F59)</f>
        <v>1.7255884188172033E-2</v>
      </c>
      <c r="J59" s="56">
        <f>ABS(D59-G59)</f>
        <v>1.7255884188172033E-2</v>
      </c>
      <c r="L59" s="13"/>
      <c r="M59" s="14"/>
      <c r="N59" s="14"/>
      <c r="O59" s="14"/>
      <c r="P59" s="15"/>
      <c r="Q59" s="1"/>
      <c r="R59" s="1"/>
    </row>
    <row r="60" spans="1:18" x14ac:dyDescent="0.3">
      <c r="A60" s="43">
        <v>2.8</v>
      </c>
      <c r="B60" s="43">
        <v>32.852353999999998</v>
      </c>
      <c r="C60" s="37">
        <v>16.426176999999999</v>
      </c>
      <c r="D60" s="37">
        <v>16.426176999999999</v>
      </c>
      <c r="E60" s="55">
        <f>$L$38+$M$38*EXP(A60)</f>
        <v>32.889293542194096</v>
      </c>
      <c r="F60" s="8">
        <f>3*$L$38+$N$38*EXP(A60)</f>
        <v>16.444646771097048</v>
      </c>
      <c r="G60" s="8">
        <f>-$L$38+($M$38-$N$38)*EXP(A60)</f>
        <v>16.444646771097048</v>
      </c>
      <c r="H60" s="55">
        <f>ABS(B60-E60)</f>
        <v>3.6939542194097896E-2</v>
      </c>
      <c r="I60" s="8">
        <f>ABS(C60-F60)</f>
        <v>1.8469771097048948E-2</v>
      </c>
      <c r="J60" s="56">
        <f>ABS(D60-G60)</f>
        <v>1.8469771097048948E-2</v>
      </c>
      <c r="L60" s="13"/>
      <c r="M60" s="14"/>
      <c r="N60" s="14"/>
      <c r="O60" s="14"/>
      <c r="P60" s="15"/>
      <c r="Q60" s="1"/>
      <c r="R60" s="1"/>
    </row>
    <row r="61" spans="1:18" x14ac:dyDescent="0.3">
      <c r="A61" s="43">
        <v>2.85</v>
      </c>
      <c r="B61" s="43">
        <v>34.536037</v>
      </c>
      <c r="C61" s="37">
        <v>17.268018000000001</v>
      </c>
      <c r="D61" s="37">
        <v>17.268018000000001</v>
      </c>
      <c r="E61" s="55">
        <f>$L$38+$M$38*EXP(A61)</f>
        <v>34.575563681135279</v>
      </c>
      <c r="F61" s="8">
        <f>3*$L$38+$N$38*EXP(A61)</f>
        <v>17.287781840567639</v>
      </c>
      <c r="G61" s="8">
        <f>-$L$38+($M$38-$N$38)*EXP(A61)</f>
        <v>17.287781840567639</v>
      </c>
      <c r="H61" s="55">
        <f>ABS(B61-E61)</f>
        <v>3.9526681135278352E-2</v>
      </c>
      <c r="I61" s="8">
        <f>ABS(C61-F61)</f>
        <v>1.9763840567637914E-2</v>
      </c>
      <c r="J61" s="56">
        <f>ABS(D61-G61)</f>
        <v>1.9763840567637914E-2</v>
      </c>
      <c r="L61" s="13"/>
      <c r="M61" s="14"/>
      <c r="N61" s="14"/>
      <c r="O61" s="14"/>
      <c r="P61" s="15"/>
      <c r="Q61" s="1"/>
      <c r="R61" s="1"/>
    </row>
    <row r="62" spans="1:18" ht="15" thickBot="1" x14ac:dyDescent="0.35">
      <c r="A62" s="43">
        <v>2.9</v>
      </c>
      <c r="B62" s="43">
        <v>36.306009000000003</v>
      </c>
      <c r="C62" s="37">
        <v>18.153003999999999</v>
      </c>
      <c r="D62" s="37">
        <v>18.153003999999999</v>
      </c>
      <c r="E62" s="55">
        <f>$L$38+$M$38*EXP(A62)</f>
        <v>36.348290738886121</v>
      </c>
      <c r="F62" s="8">
        <f>3*$L$38+$N$38*EXP(A62)</f>
        <v>18.17414536944306</v>
      </c>
      <c r="G62" s="8">
        <f>-$L$38+($M$38-$N$38)*EXP(A62)</f>
        <v>18.17414536944306</v>
      </c>
      <c r="H62" s="55">
        <f>ABS(B62-E62)</f>
        <v>4.2281738886117637E-2</v>
      </c>
      <c r="I62" s="8">
        <f>ABS(C62-F62)</f>
        <v>2.1141369443061109E-2</v>
      </c>
      <c r="J62" s="56">
        <f>ABS(D62-G62)</f>
        <v>2.1141369443061109E-2</v>
      </c>
      <c r="L62" s="16"/>
      <c r="M62" s="17"/>
      <c r="N62" s="17"/>
      <c r="O62" s="17"/>
      <c r="P62" s="18"/>
      <c r="Q62" s="1"/>
      <c r="R62" s="1"/>
    </row>
    <row r="63" spans="1:18" x14ac:dyDescent="0.3">
      <c r="A63" s="43">
        <v>2.95</v>
      </c>
      <c r="B63" s="43">
        <v>38.166691999999998</v>
      </c>
      <c r="C63" s="37">
        <v>19.083345999999999</v>
      </c>
      <c r="D63" s="37">
        <v>19.083345999999999</v>
      </c>
      <c r="E63" s="55">
        <f>$L$38+$M$38*EXP(A63)</f>
        <v>38.211907456463301</v>
      </c>
      <c r="F63" s="8">
        <f>3*$L$38+$N$38*EXP(A63)</f>
        <v>19.105953728231651</v>
      </c>
      <c r="G63" s="8">
        <f>-$L$38+($M$38-$N$38)*EXP(A63)</f>
        <v>19.105953728231651</v>
      </c>
      <c r="H63" s="55">
        <f>ABS(B63-E63)</f>
        <v>4.5215456463303383E-2</v>
      </c>
      <c r="I63" s="8">
        <f>ABS(C63-F63)</f>
        <v>2.2607728231651691E-2</v>
      </c>
      <c r="J63" s="56">
        <f>ABS(D63-G63)</f>
        <v>2.2607728231651691E-2</v>
      </c>
      <c r="L63" s="7"/>
      <c r="M63" s="7"/>
      <c r="N63" s="7"/>
      <c r="O63" s="7"/>
      <c r="P63" s="7"/>
      <c r="Q63" s="1"/>
      <c r="R63" s="1"/>
    </row>
    <row r="64" spans="1:18" x14ac:dyDescent="0.3">
      <c r="A64" s="44">
        <v>3</v>
      </c>
      <c r="B64" s="44">
        <v>40.122734999999999</v>
      </c>
      <c r="C64" s="48">
        <v>20.061367000000001</v>
      </c>
      <c r="D64" s="48">
        <v>20.061367000000001</v>
      </c>
      <c r="E64" s="57">
        <f>$L$38+$M$38*EXP(A64)</f>
        <v>40.171073846375336</v>
      </c>
      <c r="F64" s="58">
        <f>3*$L$38+$N$38*EXP(A64)</f>
        <v>20.085536923187668</v>
      </c>
      <c r="G64" s="58">
        <f>-$L$38+($M$38-$N$38)*EXP(A64)</f>
        <v>20.085536923187668</v>
      </c>
      <c r="H64" s="57">
        <f>ABS(B64-E64)</f>
        <v>4.8338846375337141E-2</v>
      </c>
      <c r="I64" s="58">
        <f>ABS(C64-F64)</f>
        <v>2.4169923187667308E-2</v>
      </c>
      <c r="J64" s="59">
        <f>ABS(D64-G64)</f>
        <v>2.4169923187667308E-2</v>
      </c>
      <c r="L64" s="7"/>
      <c r="M64" s="7"/>
      <c r="N64" s="7"/>
      <c r="O64" s="7"/>
      <c r="P64" s="7"/>
      <c r="Q64" s="1"/>
      <c r="R64" s="1"/>
    </row>
    <row r="65" spans="1:9" x14ac:dyDescent="0.3">
      <c r="A65" s="3"/>
      <c r="C65" s="1"/>
      <c r="D65" s="1"/>
      <c r="E65" s="1"/>
      <c r="F65" s="1"/>
      <c r="G65" s="1"/>
      <c r="H65" s="1"/>
      <c r="I65" s="1"/>
    </row>
    <row r="81" spans="28:39" ht="15" thickBot="1" x14ac:dyDescent="0.35"/>
    <row r="82" spans="28:39" x14ac:dyDescent="0.3">
      <c r="AB82" s="29" t="s">
        <v>31</v>
      </c>
      <c r="AC82" s="30"/>
      <c r="AD82" s="30" t="s">
        <v>22</v>
      </c>
      <c r="AE82" s="30"/>
      <c r="AF82" s="30" t="s">
        <v>39</v>
      </c>
      <c r="AG82" s="30"/>
      <c r="AH82" s="30" t="s">
        <v>35</v>
      </c>
      <c r="AI82" s="30"/>
      <c r="AJ82" s="30" t="s">
        <v>20</v>
      </c>
      <c r="AK82" s="30"/>
      <c r="AL82" s="30"/>
      <c r="AM82" s="32"/>
    </row>
    <row r="83" spans="28:39" x14ac:dyDescent="0.3">
      <c r="AB83" s="31"/>
      <c r="AC83" s="22"/>
      <c r="AD83" s="22"/>
      <c r="AE83" s="22"/>
      <c r="AF83" s="22"/>
      <c r="AG83" s="22"/>
      <c r="AH83" s="22"/>
      <c r="AI83" s="22"/>
      <c r="AJ83" s="22" t="s">
        <v>21</v>
      </c>
      <c r="AK83" s="22"/>
      <c r="AL83" s="22" t="s">
        <v>37</v>
      </c>
      <c r="AM83" s="33"/>
    </row>
    <row r="84" spans="28:39" ht="15" thickBot="1" x14ac:dyDescent="0.35">
      <c r="AB84" s="23">
        <f>MAX(I4:I64)</f>
        <v>2.4169923187667308E-2</v>
      </c>
      <c r="AC84" s="24"/>
      <c r="AD84" s="25">
        <f>MAX(T4:T34)</f>
        <v>9.2979923187666458E-2</v>
      </c>
      <c r="AE84" s="24"/>
      <c r="AF84" s="25">
        <f>AVERAGE(I4:I64)</f>
        <v>5.6154702064986715E-3</v>
      </c>
      <c r="AG84" s="24"/>
      <c r="AH84" s="25">
        <f>AVERAGE(T4:T34)</f>
        <v>2.2035559132796211E-2</v>
      </c>
      <c r="AI84" s="24"/>
      <c r="AJ84" s="27">
        <f>AD84/AB84</f>
        <v>3.8469267140703791</v>
      </c>
      <c r="AK84" s="27"/>
      <c r="AL84" s="27">
        <f>AH84/AF84</f>
        <v>3.9240808556503244</v>
      </c>
      <c r="AM84" s="28"/>
    </row>
    <row r="129" spans="28:39" ht="15" thickBot="1" x14ac:dyDescent="0.35"/>
    <row r="130" spans="28:39" x14ac:dyDescent="0.3">
      <c r="AB130" s="29" t="s">
        <v>32</v>
      </c>
      <c r="AC130" s="30"/>
      <c r="AD130" s="30" t="s">
        <v>22</v>
      </c>
      <c r="AE130" s="30"/>
      <c r="AF130" s="30" t="s">
        <v>40</v>
      </c>
      <c r="AG130" s="30"/>
      <c r="AH130" s="30" t="s">
        <v>41</v>
      </c>
      <c r="AI130" s="30"/>
      <c r="AJ130" s="30" t="s">
        <v>20</v>
      </c>
      <c r="AK130" s="30"/>
      <c r="AL130" s="30"/>
      <c r="AM130" s="32"/>
    </row>
    <row r="131" spans="28:39" x14ac:dyDescent="0.3">
      <c r="AB131" s="31"/>
      <c r="AC131" s="22"/>
      <c r="AD131" s="22"/>
      <c r="AE131" s="22"/>
      <c r="AF131" s="22"/>
      <c r="AG131" s="22"/>
      <c r="AH131" s="22"/>
      <c r="AI131" s="22"/>
      <c r="AJ131" s="22" t="s">
        <v>21</v>
      </c>
      <c r="AK131" s="22"/>
      <c r="AL131" s="22" t="s">
        <v>37</v>
      </c>
      <c r="AM131" s="33"/>
    </row>
    <row r="132" spans="28:39" ht="15" thickBot="1" x14ac:dyDescent="0.35">
      <c r="AB132" s="23">
        <f>MAX(J4:J64)</f>
        <v>2.4169923187667308E-2</v>
      </c>
      <c r="AC132" s="24"/>
      <c r="AD132" s="25">
        <f>MAX(U4:U34)</f>
        <v>9.2979923187666458E-2</v>
      </c>
      <c r="AE132" s="24"/>
      <c r="AF132" s="25">
        <f>AVERAGE(J4:J64)</f>
        <v>5.6154702064986715E-3</v>
      </c>
      <c r="AG132" s="24"/>
      <c r="AH132" s="25">
        <f>AVERAGE(U4:U34)</f>
        <v>2.2035559132796211E-2</v>
      </c>
      <c r="AI132" s="24"/>
      <c r="AJ132" s="25">
        <f>AD132/AB132</f>
        <v>3.8469267140703791</v>
      </c>
      <c r="AK132" s="24"/>
      <c r="AL132" s="25">
        <f>AH132/AF132</f>
        <v>3.9240808556503244</v>
      </c>
      <c r="AM132" s="26"/>
    </row>
  </sheetData>
  <mergeCells count="51">
    <mergeCell ref="AJ37:AM37"/>
    <mergeCell ref="AJ38:AK38"/>
    <mergeCell ref="AL38:AM38"/>
    <mergeCell ref="A1:A2"/>
    <mergeCell ref="L1:L2"/>
    <mergeCell ref="E1:G2"/>
    <mergeCell ref="B1:D2"/>
    <mergeCell ref="H1:J2"/>
    <mergeCell ref="M1:O2"/>
    <mergeCell ref="P1:R2"/>
    <mergeCell ref="S1:U2"/>
    <mergeCell ref="AB37:AC38"/>
    <mergeCell ref="AD37:AE38"/>
    <mergeCell ref="AF37:AG38"/>
    <mergeCell ref="AH37:AI38"/>
    <mergeCell ref="AL39:AM39"/>
    <mergeCell ref="AB82:AC83"/>
    <mergeCell ref="AD82:AE83"/>
    <mergeCell ref="AF82:AG83"/>
    <mergeCell ref="AH82:AI83"/>
    <mergeCell ref="AJ82:AM82"/>
    <mergeCell ref="AJ83:AK83"/>
    <mergeCell ref="AL83:AM83"/>
    <mergeCell ref="AB39:AC39"/>
    <mergeCell ref="AD39:AE39"/>
    <mergeCell ref="AF39:AG39"/>
    <mergeCell ref="AH39:AI39"/>
    <mergeCell ref="AJ39:AK39"/>
    <mergeCell ref="AL84:AM84"/>
    <mergeCell ref="AB130:AC131"/>
    <mergeCell ref="AD130:AE131"/>
    <mergeCell ref="AF130:AG131"/>
    <mergeCell ref="AH130:AI131"/>
    <mergeCell ref="AJ130:AM130"/>
    <mergeCell ref="AJ131:AK131"/>
    <mergeCell ref="AL131:AM131"/>
    <mergeCell ref="AB84:AC84"/>
    <mergeCell ref="AD84:AE84"/>
    <mergeCell ref="AF84:AG84"/>
    <mergeCell ref="AH84:AI84"/>
    <mergeCell ref="AJ84:AK84"/>
    <mergeCell ref="AL132:AM132"/>
    <mergeCell ref="AJ132:AK132"/>
    <mergeCell ref="AH132:AI132"/>
    <mergeCell ref="AF132:AG132"/>
    <mergeCell ref="AD132:AE132"/>
    <mergeCell ref="L44:P54"/>
    <mergeCell ref="L42:P43"/>
    <mergeCell ref="AB132:AC132"/>
    <mergeCell ref="L55:P56"/>
    <mergeCell ref="L57:P6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3CDA61-EF4C-4AA4-A603-6477581404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847</vt:lpstr>
      <vt:lpstr>805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Дима</dc:creator>
  <cp:lastModifiedBy>Даша 05</cp:lastModifiedBy>
  <dcterms:created xsi:type="dcterms:W3CDTF">2015-06-05T18:17:20Z</dcterms:created>
  <dcterms:modified xsi:type="dcterms:W3CDTF">2026-05-01T09:40:38Z</dcterms:modified>
</cp:coreProperties>
</file>